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loud\iCloudDrive\Master Thesis\Mission Analysis Code\Aero\"/>
    </mc:Choice>
  </mc:AlternateContent>
  <xr:revisionPtr revIDLastSave="0" documentId="13_ncr:1_{9F0D50DD-944E-46F3-959F-F4AB25C9EEAE}" xr6:coauthVersionLast="47" xr6:coauthVersionMax="47" xr10:uidLastSave="{00000000-0000-0000-0000-000000000000}"/>
  <bookViews>
    <workbookView xWindow="-120" yWindow="-120" windowWidth="29040" windowHeight="15840" activeTab="2" xr2:uid="{18B95FDA-64D2-4B00-99AD-19101CA37EB0}"/>
  </bookViews>
  <sheets>
    <sheet name="A320 Wing" sheetId="2" r:id="rId1"/>
    <sheet name="Engine Deck" sheetId="1" r:id="rId2"/>
    <sheet name="Sheet4" sheetId="4" r:id="rId3"/>
  </sheets>
  <definedNames>
    <definedName name="table1" localSheetId="1">'Engine Deck'!#REF!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G3" i="4"/>
  <c r="C6" i="4"/>
  <c r="B2" i="4"/>
  <c r="H11" i="4"/>
  <c r="E4" i="4"/>
  <c r="F4" i="4"/>
  <c r="G4" i="4"/>
  <c r="H4" i="4"/>
  <c r="I4" i="4"/>
  <c r="J4" i="4"/>
  <c r="K4" i="4"/>
  <c r="L4" i="4"/>
  <c r="L17" i="4" s="1"/>
  <c r="M4" i="4"/>
  <c r="N4" i="4"/>
  <c r="O4" i="4"/>
  <c r="E5" i="4"/>
  <c r="F5" i="4"/>
  <c r="G5" i="4"/>
  <c r="H5" i="4"/>
  <c r="I5" i="4"/>
  <c r="I18" i="4" s="1"/>
  <c r="J5" i="4"/>
  <c r="J18" i="4" s="1"/>
  <c r="K5" i="4"/>
  <c r="L5" i="4"/>
  <c r="M5" i="4"/>
  <c r="N5" i="4"/>
  <c r="O5" i="4"/>
  <c r="E6" i="4"/>
  <c r="F6" i="4"/>
  <c r="F19" i="4" s="1"/>
  <c r="G6" i="4"/>
  <c r="G19" i="4" s="1"/>
  <c r="H6" i="4"/>
  <c r="H19" i="4" s="1"/>
  <c r="I6" i="4"/>
  <c r="I19" i="4" s="1"/>
  <c r="J6" i="4"/>
  <c r="K6" i="4"/>
  <c r="L6" i="4"/>
  <c r="M6" i="4"/>
  <c r="N6" i="4"/>
  <c r="N19" i="4" s="1"/>
  <c r="O6" i="4"/>
  <c r="O19" i="4" s="1"/>
  <c r="E7" i="4"/>
  <c r="F7" i="4"/>
  <c r="G7" i="4"/>
  <c r="G20" i="4" s="1"/>
  <c r="H7" i="4"/>
  <c r="I7" i="4"/>
  <c r="J7" i="4"/>
  <c r="K7" i="4"/>
  <c r="L7" i="4"/>
  <c r="L20" i="4" s="1"/>
  <c r="M7" i="4"/>
  <c r="M20" i="4" s="1"/>
  <c r="N7" i="4"/>
  <c r="O7" i="4"/>
  <c r="O20" i="4" s="1"/>
  <c r="E8" i="4"/>
  <c r="F8" i="4"/>
  <c r="G8" i="4"/>
  <c r="H8" i="4"/>
  <c r="I8" i="4"/>
  <c r="J8" i="4"/>
  <c r="J21" i="4" s="1"/>
  <c r="K8" i="4"/>
  <c r="K21" i="4" s="1"/>
  <c r="L8" i="4"/>
  <c r="M8" i="4"/>
  <c r="N8" i="4"/>
  <c r="O8" i="4"/>
  <c r="E9" i="4"/>
  <c r="F9" i="4"/>
  <c r="G9" i="4"/>
  <c r="H9" i="4"/>
  <c r="H22" i="4" s="1"/>
  <c r="I9" i="4"/>
  <c r="I22" i="4" s="1"/>
  <c r="J9" i="4"/>
  <c r="J22" i="4" s="1"/>
  <c r="K9" i="4"/>
  <c r="L9" i="4"/>
  <c r="M9" i="4"/>
  <c r="N9" i="4"/>
  <c r="O9" i="4"/>
  <c r="E10" i="4"/>
  <c r="F10" i="4"/>
  <c r="F23" i="4" s="1"/>
  <c r="G10" i="4"/>
  <c r="G23" i="4" s="1"/>
  <c r="H10" i="4"/>
  <c r="I10" i="4"/>
  <c r="J10" i="4"/>
  <c r="K10" i="4"/>
  <c r="L10" i="4"/>
  <c r="M10" i="4"/>
  <c r="N10" i="4"/>
  <c r="N23" i="4" s="1"/>
  <c r="O10" i="4"/>
  <c r="O23" i="4" s="1"/>
  <c r="E11" i="4"/>
  <c r="F11" i="4"/>
  <c r="F24" i="4" s="1"/>
  <c r="G11" i="4"/>
  <c r="I11" i="4"/>
  <c r="J11" i="4"/>
  <c r="K11" i="4"/>
  <c r="L11" i="4"/>
  <c r="L24" i="4" s="1"/>
  <c r="M11" i="4"/>
  <c r="M24" i="4" s="1"/>
  <c r="N11" i="4"/>
  <c r="N24" i="4" s="1"/>
  <c r="O11" i="4"/>
  <c r="E12" i="4"/>
  <c r="F12" i="4"/>
  <c r="G12" i="4"/>
  <c r="H12" i="4"/>
  <c r="I12" i="4"/>
  <c r="J12" i="4"/>
  <c r="K12" i="4"/>
  <c r="K25" i="4" s="1"/>
  <c r="L12" i="4"/>
  <c r="L25" i="4" s="1"/>
  <c r="M12" i="4"/>
  <c r="N12" i="4"/>
  <c r="O12" i="4"/>
  <c r="E13" i="4"/>
  <c r="F13" i="4"/>
  <c r="G13" i="4"/>
  <c r="H13" i="4"/>
  <c r="I13" i="4"/>
  <c r="I26" i="4" s="1"/>
  <c r="J13" i="4"/>
  <c r="J26" i="4" s="1"/>
  <c r="K13" i="4"/>
  <c r="L13" i="4"/>
  <c r="M13" i="4"/>
  <c r="N13" i="4"/>
  <c r="O13" i="4"/>
  <c r="F3" i="4"/>
  <c r="H3" i="4"/>
  <c r="I3" i="4"/>
  <c r="J3" i="4"/>
  <c r="K3" i="4"/>
  <c r="L3" i="4"/>
  <c r="M3" i="4"/>
  <c r="N3" i="4"/>
  <c r="N16" i="4" s="1"/>
  <c r="O3" i="4"/>
  <c r="E3" i="4"/>
  <c r="B37" i="1"/>
  <c r="B4" i="4"/>
  <c r="A4" i="4"/>
  <c r="B22" i="1"/>
  <c r="B21" i="1"/>
  <c r="L46" i="1"/>
  <c r="C36" i="1"/>
  <c r="D36" i="1"/>
  <c r="E36" i="1"/>
  <c r="F36" i="1"/>
  <c r="G36" i="1"/>
  <c r="H36" i="1"/>
  <c r="I36" i="1"/>
  <c r="J36" i="1"/>
  <c r="K36" i="1"/>
  <c r="L36" i="1"/>
  <c r="C37" i="1"/>
  <c r="D37" i="1"/>
  <c r="E37" i="1"/>
  <c r="F37" i="1"/>
  <c r="G37" i="1"/>
  <c r="H37" i="1"/>
  <c r="I37" i="1"/>
  <c r="J37" i="1"/>
  <c r="K37" i="1"/>
  <c r="L37" i="1"/>
  <c r="C38" i="1"/>
  <c r="D38" i="1"/>
  <c r="E38" i="1"/>
  <c r="F38" i="1"/>
  <c r="G38" i="1"/>
  <c r="H38" i="1"/>
  <c r="I38" i="1"/>
  <c r="J38" i="1"/>
  <c r="K38" i="1"/>
  <c r="L38" i="1"/>
  <c r="C39" i="1"/>
  <c r="D39" i="1"/>
  <c r="E39" i="1"/>
  <c r="F39" i="1"/>
  <c r="G39" i="1"/>
  <c r="H39" i="1"/>
  <c r="I39" i="1"/>
  <c r="J39" i="1"/>
  <c r="K39" i="1"/>
  <c r="L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K41" i="1"/>
  <c r="L41" i="1"/>
  <c r="C42" i="1"/>
  <c r="D42" i="1"/>
  <c r="E42" i="1"/>
  <c r="F42" i="1"/>
  <c r="G42" i="1"/>
  <c r="H42" i="1"/>
  <c r="I42" i="1"/>
  <c r="J42" i="1"/>
  <c r="K42" i="1"/>
  <c r="L42" i="1"/>
  <c r="C43" i="1"/>
  <c r="D43" i="1"/>
  <c r="E43" i="1"/>
  <c r="F43" i="1"/>
  <c r="G43" i="1"/>
  <c r="H43" i="1"/>
  <c r="I43" i="1"/>
  <c r="J43" i="1"/>
  <c r="K43" i="1"/>
  <c r="L43" i="1"/>
  <c r="C44" i="1"/>
  <c r="D44" i="1"/>
  <c r="E44" i="1"/>
  <c r="F44" i="1"/>
  <c r="G44" i="1"/>
  <c r="H44" i="1"/>
  <c r="I44" i="1"/>
  <c r="J44" i="1"/>
  <c r="K44" i="1"/>
  <c r="L44" i="1"/>
  <c r="C45" i="1"/>
  <c r="D45" i="1"/>
  <c r="E45" i="1"/>
  <c r="F45" i="1"/>
  <c r="G45" i="1"/>
  <c r="H45" i="1"/>
  <c r="I45" i="1"/>
  <c r="J45" i="1"/>
  <c r="K45" i="1"/>
  <c r="L45" i="1"/>
  <c r="C46" i="1"/>
  <c r="D46" i="1"/>
  <c r="E46" i="1"/>
  <c r="F46" i="1"/>
  <c r="G46" i="1"/>
  <c r="H46" i="1"/>
  <c r="I46" i="1"/>
  <c r="J46" i="1"/>
  <c r="K46" i="1"/>
  <c r="B38" i="1"/>
  <c r="B39" i="1"/>
  <c r="B40" i="1"/>
  <c r="B41" i="1"/>
  <c r="B42" i="1"/>
  <c r="B43" i="1"/>
  <c r="B44" i="1"/>
  <c r="B45" i="1"/>
  <c r="B46" i="1"/>
  <c r="B36" i="1"/>
  <c r="L31" i="1"/>
  <c r="C21" i="1"/>
  <c r="C51" i="1" s="1"/>
  <c r="D21" i="1"/>
  <c r="E21" i="1"/>
  <c r="E51" i="1" s="1"/>
  <c r="F21" i="1"/>
  <c r="G21" i="1"/>
  <c r="H21" i="1"/>
  <c r="H51" i="1" s="1"/>
  <c r="I21" i="1"/>
  <c r="J21" i="1"/>
  <c r="J51" i="1" s="1"/>
  <c r="K21" i="1"/>
  <c r="L21" i="1"/>
  <c r="C22" i="1"/>
  <c r="C52" i="1" s="1"/>
  <c r="D22" i="1"/>
  <c r="E22" i="1"/>
  <c r="E127" i="1" s="1"/>
  <c r="F22" i="1"/>
  <c r="G22" i="1"/>
  <c r="G52" i="1" s="1"/>
  <c r="H22" i="1"/>
  <c r="I22" i="1"/>
  <c r="J22" i="1"/>
  <c r="K22" i="1"/>
  <c r="L22" i="1"/>
  <c r="L52" i="1" s="1"/>
  <c r="C23" i="1"/>
  <c r="D23" i="1"/>
  <c r="E23" i="1"/>
  <c r="E53" i="1" s="1"/>
  <c r="F23" i="1"/>
  <c r="G23" i="1"/>
  <c r="G53" i="1" s="1"/>
  <c r="H23" i="1"/>
  <c r="I23" i="1"/>
  <c r="I53" i="1" s="1"/>
  <c r="J23" i="1"/>
  <c r="K23" i="1"/>
  <c r="L23" i="1"/>
  <c r="C24" i="1"/>
  <c r="D24" i="1"/>
  <c r="D54" i="1" s="1"/>
  <c r="E24" i="1"/>
  <c r="F24" i="1"/>
  <c r="G24" i="1"/>
  <c r="H24" i="1"/>
  <c r="I24" i="1"/>
  <c r="I129" i="1" s="1"/>
  <c r="J24" i="1"/>
  <c r="K24" i="1"/>
  <c r="K54" i="1" s="1"/>
  <c r="L24" i="1"/>
  <c r="C25" i="1"/>
  <c r="D25" i="1"/>
  <c r="E25" i="1"/>
  <c r="F25" i="1"/>
  <c r="F55" i="1" s="1"/>
  <c r="G25" i="1"/>
  <c r="H25" i="1"/>
  <c r="I25" i="1"/>
  <c r="I55" i="1" s="1"/>
  <c r="J25" i="1"/>
  <c r="K25" i="1"/>
  <c r="K130" i="1" s="1"/>
  <c r="L25" i="1"/>
  <c r="C26" i="1"/>
  <c r="C56" i="1" s="1"/>
  <c r="D26" i="1"/>
  <c r="E26" i="1"/>
  <c r="F26" i="1"/>
  <c r="G26" i="1"/>
  <c r="G56" i="1" s="1"/>
  <c r="H26" i="1"/>
  <c r="H56" i="1" s="1"/>
  <c r="I26" i="1"/>
  <c r="J26" i="1"/>
  <c r="K26" i="1"/>
  <c r="K56" i="1" s="1"/>
  <c r="L26" i="1"/>
  <c r="C27" i="1"/>
  <c r="C132" i="1" s="1"/>
  <c r="D27" i="1"/>
  <c r="E27" i="1"/>
  <c r="E57" i="1" s="1"/>
  <c r="F27" i="1"/>
  <c r="G27" i="1"/>
  <c r="G57" i="1" s="1"/>
  <c r="H27" i="1"/>
  <c r="I27" i="1"/>
  <c r="J27" i="1"/>
  <c r="J57" i="1" s="1"/>
  <c r="K27" i="1"/>
  <c r="L27" i="1"/>
  <c r="C28" i="1"/>
  <c r="D28" i="1"/>
  <c r="E28" i="1"/>
  <c r="E133" i="1" s="1"/>
  <c r="F28" i="1"/>
  <c r="G28" i="1"/>
  <c r="G58" i="1" s="1"/>
  <c r="H28" i="1"/>
  <c r="I28" i="1"/>
  <c r="I58" i="1" s="1"/>
  <c r="J28" i="1"/>
  <c r="K28" i="1"/>
  <c r="L28" i="1"/>
  <c r="L58" i="1" s="1"/>
  <c r="C29" i="1"/>
  <c r="D29" i="1"/>
  <c r="E29" i="1"/>
  <c r="E59" i="1" s="1"/>
  <c r="F29" i="1"/>
  <c r="G29" i="1"/>
  <c r="G134" i="1" s="1"/>
  <c r="H29" i="1"/>
  <c r="I29" i="1"/>
  <c r="I59" i="1" s="1"/>
  <c r="J29" i="1"/>
  <c r="K29" i="1"/>
  <c r="K59" i="1" s="1"/>
  <c r="L29" i="1"/>
  <c r="C30" i="1"/>
  <c r="D30" i="1"/>
  <c r="D60" i="1" s="1"/>
  <c r="E30" i="1"/>
  <c r="F30" i="1"/>
  <c r="G30" i="1"/>
  <c r="G60" i="1" s="1"/>
  <c r="H30" i="1"/>
  <c r="I30" i="1"/>
  <c r="I60" i="1" s="1"/>
  <c r="J30" i="1"/>
  <c r="K30" i="1"/>
  <c r="K60" i="1" s="1"/>
  <c r="L30" i="1"/>
  <c r="C31" i="1"/>
  <c r="C61" i="1" s="1"/>
  <c r="D31" i="1"/>
  <c r="E31" i="1"/>
  <c r="F31" i="1"/>
  <c r="F61" i="1" s="1"/>
  <c r="G31" i="1"/>
  <c r="H31" i="1"/>
  <c r="I31" i="1"/>
  <c r="I61" i="1" s="1"/>
  <c r="J31" i="1"/>
  <c r="K31" i="1"/>
  <c r="K136" i="1" s="1"/>
  <c r="B23" i="1"/>
  <c r="B53" i="1" s="1"/>
  <c r="B24" i="1"/>
  <c r="B54" i="1" s="1"/>
  <c r="B25" i="1"/>
  <c r="B26" i="1"/>
  <c r="B56" i="1" s="1"/>
  <c r="B27" i="1"/>
  <c r="B57" i="1" s="1"/>
  <c r="B28" i="1"/>
  <c r="B58" i="1" s="1"/>
  <c r="B29" i="1"/>
  <c r="B59" i="1" s="1"/>
  <c r="B30" i="1"/>
  <c r="B60" i="1" s="1"/>
  <c r="B31" i="1"/>
  <c r="B61" i="1" s="1"/>
  <c r="C25" i="2"/>
  <c r="A22" i="2"/>
  <c r="E11" i="2"/>
  <c r="D11" i="2"/>
  <c r="C11" i="2"/>
  <c r="C5" i="2"/>
  <c r="B5" i="2"/>
  <c r="A32" i="2" s="1"/>
  <c r="F33" i="4" l="1"/>
  <c r="O38" i="4"/>
  <c r="F35" i="4"/>
  <c r="I34" i="4"/>
  <c r="N62" i="4"/>
  <c r="F122" i="4"/>
  <c r="F62" i="4"/>
  <c r="F77" i="4"/>
  <c r="F92" i="4"/>
  <c r="F107" i="4"/>
  <c r="F47" i="4"/>
  <c r="I91" i="4"/>
  <c r="M107" i="4"/>
  <c r="E122" i="4"/>
  <c r="E62" i="4"/>
  <c r="E77" i="4"/>
  <c r="E92" i="4"/>
  <c r="E107" i="4"/>
  <c r="E47" i="4"/>
  <c r="E112" i="4"/>
  <c r="E52" i="4"/>
  <c r="E127" i="4"/>
  <c r="E67" i="4"/>
  <c r="E82" i="4"/>
  <c r="E97" i="4"/>
  <c r="L39" i="4"/>
  <c r="L123" i="4"/>
  <c r="H84" i="4"/>
  <c r="M82" i="4"/>
  <c r="M97" i="4"/>
  <c r="G38" i="4"/>
  <c r="G35" i="4"/>
  <c r="O39" i="4"/>
  <c r="G39" i="4"/>
  <c r="L52" i="4"/>
  <c r="N126" i="4"/>
  <c r="F126" i="4"/>
  <c r="F66" i="4"/>
  <c r="F81" i="4"/>
  <c r="F96" i="4"/>
  <c r="F111" i="4"/>
  <c r="F51" i="4"/>
  <c r="I38" i="4"/>
  <c r="M81" i="4"/>
  <c r="E126" i="4"/>
  <c r="E66" i="4"/>
  <c r="E81" i="4"/>
  <c r="E96" i="4"/>
  <c r="E111" i="4"/>
  <c r="E51" i="4"/>
  <c r="L34" i="4"/>
  <c r="F108" i="4"/>
  <c r="F48" i="4"/>
  <c r="F123" i="4"/>
  <c r="F63" i="4"/>
  <c r="F78" i="4"/>
  <c r="F93" i="4"/>
  <c r="N25" i="4"/>
  <c r="L22" i="4"/>
  <c r="F21" i="4"/>
  <c r="N17" i="4"/>
  <c r="O33" i="4"/>
  <c r="E20" i="4"/>
  <c r="D123" i="4" s="1"/>
  <c r="N30" i="4"/>
  <c r="H23" i="4"/>
  <c r="L21" i="4"/>
  <c r="N20" i="4"/>
  <c r="N33" i="4" s="1"/>
  <c r="F20" i="4"/>
  <c r="F16" i="4"/>
  <c r="I39" i="4"/>
  <c r="H54" i="4" s="1"/>
  <c r="K38" i="4"/>
  <c r="J98" i="4" s="1"/>
  <c r="M37" i="4"/>
  <c r="O36" i="4"/>
  <c r="N51" i="4" s="1"/>
  <c r="M33" i="4"/>
  <c r="O32" i="4"/>
  <c r="N122" i="4" s="1"/>
  <c r="G32" i="4"/>
  <c r="L26" i="4"/>
  <c r="H24" i="4"/>
  <c r="N21" i="4"/>
  <c r="J19" i="4"/>
  <c r="H16" i="4"/>
  <c r="M38" i="4"/>
  <c r="G33" i="4"/>
  <c r="E23" i="4"/>
  <c r="D126" i="4" s="1"/>
  <c r="K26" i="4"/>
  <c r="M25" i="4"/>
  <c r="O24" i="4"/>
  <c r="O37" i="4" s="1"/>
  <c r="G24" i="4"/>
  <c r="I23" i="4"/>
  <c r="M21" i="4"/>
  <c r="M34" i="4" s="1"/>
  <c r="K18" i="4"/>
  <c r="M17" i="4"/>
  <c r="O16" i="4"/>
  <c r="G16" i="4"/>
  <c r="G29" i="4" s="1"/>
  <c r="J39" i="4"/>
  <c r="I99" i="4" s="1"/>
  <c r="N37" i="4"/>
  <c r="M52" i="4" s="1"/>
  <c r="F37" i="4"/>
  <c r="H36" i="4"/>
  <c r="J31" i="4"/>
  <c r="I46" i="4" s="1"/>
  <c r="D96" i="1"/>
  <c r="E17" i="4"/>
  <c r="D120" i="4" s="1"/>
  <c r="K17" i="4"/>
  <c r="M16" i="4"/>
  <c r="N36" i="4"/>
  <c r="M66" i="4" s="1"/>
  <c r="F36" i="4"/>
  <c r="L33" i="4"/>
  <c r="K48" i="4" s="1"/>
  <c r="N32" i="4"/>
  <c r="M47" i="4" s="1"/>
  <c r="F25" i="4"/>
  <c r="J23" i="4"/>
  <c r="H20" i="4"/>
  <c r="L18" i="4"/>
  <c r="F17" i="4"/>
  <c r="K31" i="4"/>
  <c r="L29" i="4"/>
  <c r="K22" i="4"/>
  <c r="E25" i="4"/>
  <c r="D68" i="4" s="1"/>
  <c r="E22" i="4"/>
  <c r="D50" i="4" s="1"/>
  <c r="H26" i="4"/>
  <c r="J25" i="4"/>
  <c r="H18" i="4"/>
  <c r="J17" i="4"/>
  <c r="L16" i="4"/>
  <c r="B44" i="2"/>
  <c r="A25" i="2"/>
  <c r="H97" i="1"/>
  <c r="E16" i="4"/>
  <c r="D119" i="4" s="1"/>
  <c r="H29" i="4"/>
  <c r="E19" i="4"/>
  <c r="O26" i="4"/>
  <c r="G26" i="4"/>
  <c r="I25" i="4"/>
  <c r="K24" i="4"/>
  <c r="M23" i="4"/>
  <c r="O22" i="4"/>
  <c r="G22" i="4"/>
  <c r="I21" i="4"/>
  <c r="K20" i="4"/>
  <c r="M19" i="4"/>
  <c r="M32" i="4" s="1"/>
  <c r="O18" i="4"/>
  <c r="G18" i="4"/>
  <c r="I17" i="4"/>
  <c r="K16" i="4"/>
  <c r="B50" i="2"/>
  <c r="C4" i="4" s="1"/>
  <c r="K37" i="4" s="1"/>
  <c r="O29" i="4"/>
  <c r="F29" i="4"/>
  <c r="E24" i="4"/>
  <c r="D127" i="4" s="1"/>
  <c r="J30" i="4"/>
  <c r="N26" i="4"/>
  <c r="F26" i="4"/>
  <c r="H25" i="4"/>
  <c r="J24" i="4"/>
  <c r="L23" i="4"/>
  <c r="N22" i="4"/>
  <c r="N35" i="4" s="1"/>
  <c r="F22" i="4"/>
  <c r="H21" i="4"/>
  <c r="J20" i="4"/>
  <c r="L19" i="4"/>
  <c r="N18" i="4"/>
  <c r="F18" i="4"/>
  <c r="H17" i="4"/>
  <c r="J16" i="4"/>
  <c r="N29" i="4"/>
  <c r="E21" i="4"/>
  <c r="D124" i="4" s="1"/>
  <c r="F31" i="4"/>
  <c r="I30" i="4"/>
  <c r="M26" i="4"/>
  <c r="M39" i="4" s="1"/>
  <c r="O25" i="4"/>
  <c r="G25" i="4"/>
  <c r="I24" i="4"/>
  <c r="K23" i="4"/>
  <c r="M22" i="4"/>
  <c r="O21" i="4"/>
  <c r="G21" i="4"/>
  <c r="I20" i="4"/>
  <c r="K19" i="4"/>
  <c r="M18" i="4"/>
  <c r="M31" i="4" s="1"/>
  <c r="O17" i="4"/>
  <c r="G17" i="4"/>
  <c r="I16" i="4"/>
  <c r="D44" i="4"/>
  <c r="E26" i="4"/>
  <c r="E18" i="4"/>
  <c r="D121" i="4" s="1"/>
  <c r="E33" i="4"/>
  <c r="D97" i="4"/>
  <c r="D82" i="4"/>
  <c r="D67" i="4"/>
  <c r="D128" i="4"/>
  <c r="D113" i="4"/>
  <c r="D83" i="4"/>
  <c r="D98" i="4"/>
  <c r="D96" i="4"/>
  <c r="E30" i="4"/>
  <c r="D51" i="4"/>
  <c r="D66" i="4"/>
  <c r="D81" i="4"/>
  <c r="D111" i="4"/>
  <c r="D65" i="4"/>
  <c r="D80" i="4"/>
  <c r="D110" i="4"/>
  <c r="D125" i="4"/>
  <c r="E29" i="4"/>
  <c r="D49" i="4"/>
  <c r="D109" i="4"/>
  <c r="D92" i="4"/>
  <c r="E38" i="4"/>
  <c r="D47" i="4"/>
  <c r="D62" i="4"/>
  <c r="D77" i="4"/>
  <c r="D91" i="4"/>
  <c r="D107" i="4"/>
  <c r="D122" i="4"/>
  <c r="E37" i="4"/>
  <c r="D106" i="4"/>
  <c r="E36" i="4"/>
  <c r="D45" i="4"/>
  <c r="D60" i="4"/>
  <c r="D75" i="4"/>
  <c r="E34" i="4"/>
  <c r="G54" i="1"/>
  <c r="B55" i="1"/>
  <c r="C58" i="1"/>
  <c r="L98" i="1"/>
  <c r="H81" i="1"/>
  <c r="L69" i="1"/>
  <c r="E52" i="1"/>
  <c r="L101" i="1"/>
  <c r="H99" i="1"/>
  <c r="L91" i="1"/>
  <c r="G91" i="1"/>
  <c r="I84" i="4" s="1"/>
  <c r="C89" i="1"/>
  <c r="I86" i="1"/>
  <c r="D105" i="1"/>
  <c r="D69" i="1"/>
  <c r="J81" i="1"/>
  <c r="E56" i="1"/>
  <c r="C55" i="1"/>
  <c r="K53" i="1"/>
  <c r="I52" i="1"/>
  <c r="G51" i="1"/>
  <c r="E61" i="1"/>
  <c r="C60" i="1"/>
  <c r="K58" i="1"/>
  <c r="M51" i="4" s="1"/>
  <c r="I57" i="1"/>
  <c r="E55" i="1"/>
  <c r="C54" i="1"/>
  <c r="K52" i="1"/>
  <c r="I51" i="1"/>
  <c r="D61" i="1"/>
  <c r="L59" i="1"/>
  <c r="J58" i="1"/>
  <c r="H57" i="1"/>
  <c r="F56" i="1"/>
  <c r="D55" i="1"/>
  <c r="L53" i="1"/>
  <c r="J52" i="1"/>
  <c r="H136" i="1"/>
  <c r="F135" i="1"/>
  <c r="D134" i="1"/>
  <c r="L132" i="1"/>
  <c r="J131" i="1"/>
  <c r="H130" i="1"/>
  <c r="F129" i="1"/>
  <c r="D128" i="1"/>
  <c r="L51" i="1"/>
  <c r="H96" i="1"/>
  <c r="B127" i="1"/>
  <c r="J60" i="1"/>
  <c r="H59" i="1"/>
  <c r="F58" i="1"/>
  <c r="D57" i="1"/>
  <c r="L55" i="1"/>
  <c r="N48" i="4" s="1"/>
  <c r="J54" i="1"/>
  <c r="H53" i="1"/>
  <c r="F52" i="1"/>
  <c r="D51" i="1"/>
  <c r="J61" i="1"/>
  <c r="H60" i="1"/>
  <c r="J53" i="4" s="1"/>
  <c r="F59" i="1"/>
  <c r="D58" i="1"/>
  <c r="L56" i="1"/>
  <c r="J55" i="1"/>
  <c r="L48" i="4" s="1"/>
  <c r="H54" i="1"/>
  <c r="F53" i="1"/>
  <c r="D52" i="1"/>
  <c r="L61" i="1"/>
  <c r="G121" i="1"/>
  <c r="I114" i="4" s="1"/>
  <c r="E120" i="1"/>
  <c r="C119" i="1"/>
  <c r="K117" i="1"/>
  <c r="I116" i="1"/>
  <c r="G115" i="1"/>
  <c r="E114" i="1"/>
  <c r="C113" i="1"/>
  <c r="K111" i="1"/>
  <c r="M104" i="4" s="1"/>
  <c r="B126" i="1"/>
  <c r="L60" i="1"/>
  <c r="J59" i="1"/>
  <c r="H58" i="1"/>
  <c r="F57" i="1"/>
  <c r="D56" i="1"/>
  <c r="L54" i="1"/>
  <c r="N47" i="4" s="1"/>
  <c r="J53" i="1"/>
  <c r="H52" i="1"/>
  <c r="F51" i="1"/>
  <c r="H89" i="1"/>
  <c r="D87" i="1"/>
  <c r="F134" i="1"/>
  <c r="L133" i="1"/>
  <c r="J84" i="1"/>
  <c r="H129" i="1"/>
  <c r="D84" i="1"/>
  <c r="D129" i="1"/>
  <c r="J74" i="1"/>
  <c r="L67" i="4" s="1"/>
  <c r="L73" i="1"/>
  <c r="N66" i="4" s="1"/>
  <c r="G102" i="1"/>
  <c r="F74" i="1"/>
  <c r="H69" i="1"/>
  <c r="J91" i="1"/>
  <c r="F89" i="1"/>
  <c r="L86" i="1"/>
  <c r="H84" i="1"/>
  <c r="L104" i="1"/>
  <c r="D102" i="1"/>
  <c r="D99" i="1"/>
  <c r="G96" i="1"/>
  <c r="C134" i="1"/>
  <c r="E129" i="1"/>
  <c r="G81" i="1"/>
  <c r="B74" i="1"/>
  <c r="H73" i="1"/>
  <c r="J68" i="1"/>
  <c r="F91" i="1"/>
  <c r="L88" i="1"/>
  <c r="N81" i="4" s="1"/>
  <c r="H86" i="1"/>
  <c r="L83" i="1"/>
  <c r="D81" i="1"/>
  <c r="H104" i="1"/>
  <c r="H101" i="1"/>
  <c r="K98" i="1"/>
  <c r="B96" i="1"/>
  <c r="D133" i="1"/>
  <c r="F128" i="1"/>
  <c r="B52" i="1"/>
  <c r="B71" i="1"/>
  <c r="D73" i="1"/>
  <c r="F68" i="1"/>
  <c r="D91" i="1"/>
  <c r="J88" i="1"/>
  <c r="F86" i="1"/>
  <c r="K83" i="1"/>
  <c r="B100" i="1"/>
  <c r="F104" i="1"/>
  <c r="F101" i="1"/>
  <c r="H98" i="1"/>
  <c r="B119" i="1"/>
  <c r="K132" i="1"/>
  <c r="C128" i="1"/>
  <c r="B68" i="1"/>
  <c r="J72" i="1"/>
  <c r="L67" i="1"/>
  <c r="C91" i="1"/>
  <c r="I88" i="1"/>
  <c r="E86" i="1"/>
  <c r="H83" i="1"/>
  <c r="L106" i="1"/>
  <c r="L103" i="1"/>
  <c r="N96" i="4" s="1"/>
  <c r="E101" i="1"/>
  <c r="F98" i="1"/>
  <c r="B116" i="1"/>
  <c r="J132" i="1"/>
  <c r="L127" i="1"/>
  <c r="K104" i="1"/>
  <c r="B67" i="1"/>
  <c r="F72" i="1"/>
  <c r="H67" i="1"/>
  <c r="J90" i="1"/>
  <c r="F88" i="1"/>
  <c r="L85" i="1"/>
  <c r="N78" i="4" s="1"/>
  <c r="F83" i="1"/>
  <c r="J106" i="1"/>
  <c r="J103" i="1"/>
  <c r="L100" i="1"/>
  <c r="N93" i="4" s="1"/>
  <c r="L97" i="1"/>
  <c r="J136" i="1"/>
  <c r="L131" i="1"/>
  <c r="D127" i="1"/>
  <c r="K61" i="1"/>
  <c r="J76" i="1"/>
  <c r="L71" i="1"/>
  <c r="D67" i="1"/>
  <c r="H90" i="1"/>
  <c r="J83" i="4" s="1"/>
  <c r="D88" i="1"/>
  <c r="J85" i="1"/>
  <c r="L78" i="4" s="1"/>
  <c r="L82" i="1"/>
  <c r="F106" i="1"/>
  <c r="H99" i="4" s="1"/>
  <c r="I103" i="1"/>
  <c r="J100" i="1"/>
  <c r="L93" i="4" s="1"/>
  <c r="J97" i="1"/>
  <c r="G136" i="1"/>
  <c r="I129" i="4" s="1"/>
  <c r="I131" i="1"/>
  <c r="K126" i="1"/>
  <c r="M119" i="4" s="1"/>
  <c r="F60" i="1"/>
  <c r="F76" i="1"/>
  <c r="H71" i="1"/>
  <c r="J66" i="1"/>
  <c r="E90" i="1"/>
  <c r="K87" i="1"/>
  <c r="G85" i="1"/>
  <c r="J82" i="1"/>
  <c r="D106" i="1"/>
  <c r="F103" i="1"/>
  <c r="F100" i="1"/>
  <c r="I97" i="1"/>
  <c r="F136" i="1"/>
  <c r="H129" i="4" s="1"/>
  <c r="H131" i="1"/>
  <c r="J126" i="1"/>
  <c r="G59" i="1"/>
  <c r="L75" i="1"/>
  <c r="D71" i="1"/>
  <c r="F66" i="1"/>
  <c r="D90" i="1"/>
  <c r="J87" i="1"/>
  <c r="F85" i="1"/>
  <c r="I82" i="1"/>
  <c r="C106" i="1"/>
  <c r="D103" i="1"/>
  <c r="D100" i="1"/>
  <c r="F97" i="1"/>
  <c r="H135" i="1"/>
  <c r="J128" i="4" s="1"/>
  <c r="J130" i="1"/>
  <c r="B51" i="1"/>
  <c r="I54" i="1"/>
  <c r="H75" i="1"/>
  <c r="J68" i="4" s="1"/>
  <c r="J70" i="1"/>
  <c r="L63" i="4" s="1"/>
  <c r="B66" i="1"/>
  <c r="L89" i="1"/>
  <c r="H87" i="1"/>
  <c r="D85" i="1"/>
  <c r="F82" i="1"/>
  <c r="J105" i="1"/>
  <c r="J102" i="1"/>
  <c r="C100" i="1"/>
  <c r="D97" i="1"/>
  <c r="E135" i="1"/>
  <c r="G130" i="1"/>
  <c r="D53" i="1"/>
  <c r="D75" i="1"/>
  <c r="F70" i="1"/>
  <c r="B85" i="1"/>
  <c r="K89" i="1"/>
  <c r="G87" i="1"/>
  <c r="C85" i="1"/>
  <c r="D82" i="1"/>
  <c r="H105" i="1"/>
  <c r="H102" i="1"/>
  <c r="J99" i="1"/>
  <c r="J96" i="1"/>
  <c r="D135" i="1"/>
  <c r="F130" i="1"/>
  <c r="E72" i="1"/>
  <c r="G67" i="1"/>
  <c r="B84" i="1"/>
  <c r="B99" i="1"/>
  <c r="B115" i="1"/>
  <c r="D121" i="1"/>
  <c r="L119" i="1"/>
  <c r="J118" i="1"/>
  <c r="H117" i="1"/>
  <c r="F116" i="1"/>
  <c r="D115" i="1"/>
  <c r="L113" i="1"/>
  <c r="J112" i="1"/>
  <c r="B132" i="1"/>
  <c r="K75" i="1"/>
  <c r="I74" i="1"/>
  <c r="G73" i="1"/>
  <c r="C71" i="1"/>
  <c r="K69" i="1"/>
  <c r="M62" i="4" s="1"/>
  <c r="I68" i="1"/>
  <c r="E66" i="1"/>
  <c r="H111" i="1"/>
  <c r="D59" i="1"/>
  <c r="L76" i="1"/>
  <c r="J75" i="1"/>
  <c r="H74" i="1"/>
  <c r="F73" i="1"/>
  <c r="D72" i="1"/>
  <c r="L70" i="1"/>
  <c r="N63" i="4" s="1"/>
  <c r="J69" i="1"/>
  <c r="H68" i="1"/>
  <c r="F67" i="1"/>
  <c r="D66" i="1"/>
  <c r="B83" i="1"/>
  <c r="L90" i="1"/>
  <c r="J89" i="1"/>
  <c r="L82" i="4" s="1"/>
  <c r="H88" i="1"/>
  <c r="F87" i="1"/>
  <c r="D86" i="1"/>
  <c r="L84" i="1"/>
  <c r="N77" i="4" s="1"/>
  <c r="J83" i="1"/>
  <c r="H82" i="1"/>
  <c r="F81" i="1"/>
  <c r="B98" i="1"/>
  <c r="L105" i="1"/>
  <c r="J104" i="1"/>
  <c r="L97" i="4" s="1"/>
  <c r="H103" i="1"/>
  <c r="F102" i="1"/>
  <c r="D101" i="1"/>
  <c r="L99" i="1"/>
  <c r="N92" i="4" s="1"/>
  <c r="J98" i="1"/>
  <c r="F96" i="1"/>
  <c r="B114" i="1"/>
  <c r="C121" i="1"/>
  <c r="K119" i="1"/>
  <c r="M112" i="4" s="1"/>
  <c r="I118" i="1"/>
  <c r="G117" i="1"/>
  <c r="E116" i="1"/>
  <c r="C115" i="1"/>
  <c r="K113" i="1"/>
  <c r="I112" i="1"/>
  <c r="G111" i="1"/>
  <c r="B131" i="1"/>
  <c r="E136" i="1"/>
  <c r="C135" i="1"/>
  <c r="K133" i="1"/>
  <c r="M126" i="4" s="1"/>
  <c r="I132" i="1"/>
  <c r="G131" i="1"/>
  <c r="E130" i="1"/>
  <c r="C129" i="1"/>
  <c r="K127" i="1"/>
  <c r="I126" i="1"/>
  <c r="E58" i="1"/>
  <c r="K76" i="1"/>
  <c r="I75" i="1"/>
  <c r="G74" i="1"/>
  <c r="E73" i="1"/>
  <c r="C72" i="1"/>
  <c r="K70" i="1"/>
  <c r="I69" i="1"/>
  <c r="G68" i="1"/>
  <c r="I61" i="4" s="1"/>
  <c r="E67" i="1"/>
  <c r="C66" i="1"/>
  <c r="B82" i="1"/>
  <c r="K90" i="1"/>
  <c r="I89" i="1"/>
  <c r="G88" i="1"/>
  <c r="E87" i="1"/>
  <c r="C86" i="1"/>
  <c r="K84" i="1"/>
  <c r="M77" i="4" s="1"/>
  <c r="I83" i="1"/>
  <c r="G82" i="1"/>
  <c r="E81" i="1"/>
  <c r="B97" i="1"/>
  <c r="K105" i="1"/>
  <c r="I104" i="1"/>
  <c r="G103" i="1"/>
  <c r="E102" i="1"/>
  <c r="C101" i="1"/>
  <c r="K99" i="1"/>
  <c r="M92" i="4" s="1"/>
  <c r="I98" i="1"/>
  <c r="G97" i="1"/>
  <c r="E96" i="1"/>
  <c r="B113" i="1"/>
  <c r="L120" i="1"/>
  <c r="J119" i="1"/>
  <c r="L112" i="4" s="1"/>
  <c r="H118" i="1"/>
  <c r="F117" i="1"/>
  <c r="D116" i="1"/>
  <c r="L114" i="1"/>
  <c r="N107" i="4" s="1"/>
  <c r="J113" i="1"/>
  <c r="H112" i="1"/>
  <c r="F111" i="1"/>
  <c r="B130" i="1"/>
  <c r="D136" i="1"/>
  <c r="L134" i="1"/>
  <c r="J133" i="1"/>
  <c r="H132" i="1"/>
  <c r="F131" i="1"/>
  <c r="D130" i="1"/>
  <c r="L128" i="1"/>
  <c r="J127" i="1"/>
  <c r="H126" i="1"/>
  <c r="L57" i="1"/>
  <c r="B112" i="1"/>
  <c r="K120" i="1"/>
  <c r="I119" i="1"/>
  <c r="G118" i="1"/>
  <c r="E117" i="1"/>
  <c r="C116" i="1"/>
  <c r="K114" i="1"/>
  <c r="I113" i="1"/>
  <c r="G112" i="1"/>
  <c r="E111" i="1"/>
  <c r="B129" i="1"/>
  <c r="C136" i="1"/>
  <c r="K134" i="1"/>
  <c r="M127" i="4" s="1"/>
  <c r="I133" i="1"/>
  <c r="G132" i="1"/>
  <c r="E131" i="1"/>
  <c r="C130" i="1"/>
  <c r="K128" i="1"/>
  <c r="I127" i="1"/>
  <c r="G126" i="1"/>
  <c r="B76" i="1"/>
  <c r="C57" i="1"/>
  <c r="B75" i="1"/>
  <c r="I76" i="1"/>
  <c r="G75" i="1"/>
  <c r="E74" i="1"/>
  <c r="C73" i="1"/>
  <c r="K71" i="1"/>
  <c r="I70" i="1"/>
  <c r="K63" i="4" s="1"/>
  <c r="G69" i="1"/>
  <c r="E68" i="1"/>
  <c r="C67" i="1"/>
  <c r="B81" i="1"/>
  <c r="K91" i="1"/>
  <c r="I90" i="1"/>
  <c r="G89" i="1"/>
  <c r="E88" i="1"/>
  <c r="C87" i="1"/>
  <c r="K85" i="1"/>
  <c r="I84" i="1"/>
  <c r="G83" i="1"/>
  <c r="E82" i="1"/>
  <c r="C81" i="1"/>
  <c r="K106" i="1"/>
  <c r="I105" i="1"/>
  <c r="G104" i="1"/>
  <c r="E103" i="1"/>
  <c r="C102" i="1"/>
  <c r="K100" i="1"/>
  <c r="I99" i="1"/>
  <c r="G98" i="1"/>
  <c r="E97" i="1"/>
  <c r="C96" i="1"/>
  <c r="L121" i="1"/>
  <c r="J120" i="1"/>
  <c r="H119" i="1"/>
  <c r="F118" i="1"/>
  <c r="D117" i="1"/>
  <c r="L115" i="1"/>
  <c r="N108" i="4" s="1"/>
  <c r="J114" i="1"/>
  <c r="H113" i="1"/>
  <c r="F112" i="1"/>
  <c r="D111" i="1"/>
  <c r="B128" i="1"/>
  <c r="L135" i="1"/>
  <c r="J134" i="1"/>
  <c r="L127" i="4" s="1"/>
  <c r="H133" i="1"/>
  <c r="F132" i="1"/>
  <c r="D131" i="1"/>
  <c r="L129" i="1"/>
  <c r="J128" i="1"/>
  <c r="H127" i="1"/>
  <c r="F126" i="1"/>
  <c r="K118" i="1"/>
  <c r="M111" i="4" s="1"/>
  <c r="G116" i="1"/>
  <c r="K112" i="1"/>
  <c r="J56" i="1"/>
  <c r="F75" i="1"/>
  <c r="H70" i="1"/>
  <c r="D68" i="1"/>
  <c r="B91" i="1"/>
  <c r="B106" i="1"/>
  <c r="K121" i="1"/>
  <c r="I120" i="1"/>
  <c r="G119" i="1"/>
  <c r="E118" i="1"/>
  <c r="C117" i="1"/>
  <c r="K115" i="1"/>
  <c r="I114" i="1"/>
  <c r="E112" i="1"/>
  <c r="C111" i="1"/>
  <c r="K135" i="1"/>
  <c r="I134" i="1"/>
  <c r="G133" i="1"/>
  <c r="E132" i="1"/>
  <c r="C131" i="1"/>
  <c r="K129" i="1"/>
  <c r="M122" i="4" s="1"/>
  <c r="I128" i="1"/>
  <c r="G127" i="1"/>
  <c r="E126" i="1"/>
  <c r="E121" i="1"/>
  <c r="H76" i="1"/>
  <c r="D74" i="1"/>
  <c r="L72" i="1"/>
  <c r="J71" i="1"/>
  <c r="F69" i="1"/>
  <c r="L66" i="1"/>
  <c r="G113" i="1"/>
  <c r="I106" i="4" s="1"/>
  <c r="K55" i="1"/>
  <c r="B73" i="1"/>
  <c r="G76" i="1"/>
  <c r="I69" i="4" s="1"/>
  <c r="E75" i="1"/>
  <c r="C74" i="1"/>
  <c r="K72" i="1"/>
  <c r="I71" i="1"/>
  <c r="G70" i="1"/>
  <c r="E69" i="1"/>
  <c r="C68" i="1"/>
  <c r="K66" i="1"/>
  <c r="M59" i="4" s="1"/>
  <c r="B90" i="1"/>
  <c r="I91" i="1"/>
  <c r="G90" i="1"/>
  <c r="E89" i="1"/>
  <c r="C88" i="1"/>
  <c r="K86" i="1"/>
  <c r="I85" i="1"/>
  <c r="K78" i="4" s="1"/>
  <c r="G84" i="1"/>
  <c r="E83" i="1"/>
  <c r="C82" i="1"/>
  <c r="B105" i="1"/>
  <c r="I106" i="1"/>
  <c r="G105" i="1"/>
  <c r="E104" i="1"/>
  <c r="C103" i="1"/>
  <c r="K101" i="1"/>
  <c r="I100" i="1"/>
  <c r="K93" i="4" s="1"/>
  <c r="G99" i="1"/>
  <c r="E98" i="1"/>
  <c r="C97" i="1"/>
  <c r="B121" i="1"/>
  <c r="J121" i="1"/>
  <c r="H120" i="1"/>
  <c r="J113" i="4" s="1"/>
  <c r="F119" i="1"/>
  <c r="D118" i="1"/>
  <c r="L116" i="1"/>
  <c r="J115" i="1"/>
  <c r="L108" i="4" s="1"/>
  <c r="H114" i="1"/>
  <c r="F113" i="1"/>
  <c r="D112" i="1"/>
  <c r="B111" i="1"/>
  <c r="L136" i="1"/>
  <c r="J135" i="1"/>
  <c r="H134" i="1"/>
  <c r="F133" i="1"/>
  <c r="D132" i="1"/>
  <c r="L130" i="1"/>
  <c r="N123" i="4" s="1"/>
  <c r="J129" i="1"/>
  <c r="H128" i="1"/>
  <c r="F127" i="1"/>
  <c r="D126" i="1"/>
  <c r="H55" i="1"/>
  <c r="B72" i="1"/>
  <c r="B89" i="1"/>
  <c r="H91" i="1"/>
  <c r="F90" i="1"/>
  <c r="D89" i="1"/>
  <c r="L87" i="1"/>
  <c r="J86" i="1"/>
  <c r="H85" i="1"/>
  <c r="F84" i="1"/>
  <c r="D83" i="1"/>
  <c r="L81" i="1"/>
  <c r="B104" i="1"/>
  <c r="H106" i="1"/>
  <c r="F105" i="1"/>
  <c r="D104" i="1"/>
  <c r="L102" i="1"/>
  <c r="J101" i="1"/>
  <c r="H100" i="1"/>
  <c r="F99" i="1"/>
  <c r="D98" i="1"/>
  <c r="L96" i="1"/>
  <c r="B120" i="1"/>
  <c r="I121" i="1"/>
  <c r="G120" i="1"/>
  <c r="E119" i="1"/>
  <c r="C118" i="1"/>
  <c r="K116" i="1"/>
  <c r="I115" i="1"/>
  <c r="K108" i="4" s="1"/>
  <c r="G114" i="1"/>
  <c r="E113" i="1"/>
  <c r="C112" i="1"/>
  <c r="I135" i="1"/>
  <c r="G128" i="1"/>
  <c r="I121" i="4" s="1"/>
  <c r="C126" i="1"/>
  <c r="C75" i="1"/>
  <c r="K73" i="1"/>
  <c r="I72" i="1"/>
  <c r="G71" i="1"/>
  <c r="E70" i="1"/>
  <c r="C69" i="1"/>
  <c r="K67" i="1"/>
  <c r="I66" i="1"/>
  <c r="B88" i="1"/>
  <c r="E84" i="1"/>
  <c r="C83" i="1"/>
  <c r="K81" i="1"/>
  <c r="M74" i="4" s="1"/>
  <c r="B103" i="1"/>
  <c r="G106" i="1"/>
  <c r="E105" i="1"/>
  <c r="C104" i="1"/>
  <c r="K102" i="1"/>
  <c r="I101" i="1"/>
  <c r="G100" i="1"/>
  <c r="E99" i="1"/>
  <c r="C98" i="1"/>
  <c r="K96" i="1"/>
  <c r="M89" i="4" s="1"/>
  <c r="H121" i="1"/>
  <c r="F120" i="1"/>
  <c r="D119" i="1"/>
  <c r="L117" i="1"/>
  <c r="J116" i="1"/>
  <c r="H115" i="1"/>
  <c r="F114" i="1"/>
  <c r="D113" i="1"/>
  <c r="L111" i="1"/>
  <c r="B136" i="1"/>
  <c r="I111" i="1"/>
  <c r="F54" i="1"/>
  <c r="B70" i="1"/>
  <c r="L74" i="1"/>
  <c r="H72" i="1"/>
  <c r="D70" i="1"/>
  <c r="J67" i="1"/>
  <c r="B102" i="1"/>
  <c r="B118" i="1"/>
  <c r="B135" i="1"/>
  <c r="I136" i="1"/>
  <c r="E134" i="1"/>
  <c r="C133" i="1"/>
  <c r="K131" i="1"/>
  <c r="I130" i="1"/>
  <c r="K123" i="4" s="1"/>
  <c r="G129" i="1"/>
  <c r="E128" i="1"/>
  <c r="C127" i="1"/>
  <c r="C120" i="1"/>
  <c r="I117" i="1"/>
  <c r="E115" i="1"/>
  <c r="C114" i="1"/>
  <c r="B133" i="1"/>
  <c r="E76" i="1"/>
  <c r="H61" i="1"/>
  <c r="D76" i="1"/>
  <c r="J73" i="1"/>
  <c r="F71" i="1"/>
  <c r="L68" i="1"/>
  <c r="H66" i="1"/>
  <c r="B87" i="1"/>
  <c r="G135" i="1"/>
  <c r="G61" i="1"/>
  <c r="I54" i="4" s="1"/>
  <c r="E60" i="1"/>
  <c r="C59" i="1"/>
  <c r="K57" i="1"/>
  <c r="I56" i="1"/>
  <c r="G55" i="1"/>
  <c r="E54" i="1"/>
  <c r="C53" i="1"/>
  <c r="K51" i="1"/>
  <c r="M44" i="4" s="1"/>
  <c r="B69" i="1"/>
  <c r="C76" i="1"/>
  <c r="K74" i="1"/>
  <c r="M67" i="4" s="1"/>
  <c r="I73" i="1"/>
  <c r="G72" i="1"/>
  <c r="E71" i="1"/>
  <c r="C70" i="1"/>
  <c r="K68" i="1"/>
  <c r="I67" i="1"/>
  <c r="G66" i="1"/>
  <c r="B86" i="1"/>
  <c r="E91" i="1"/>
  <c r="C90" i="1"/>
  <c r="K88" i="1"/>
  <c r="I87" i="1"/>
  <c r="G86" i="1"/>
  <c r="E85" i="1"/>
  <c r="C84" i="1"/>
  <c r="K82" i="1"/>
  <c r="I81" i="1"/>
  <c r="B101" i="1"/>
  <c r="E106" i="1"/>
  <c r="C105" i="1"/>
  <c r="K103" i="1"/>
  <c r="M96" i="4" s="1"/>
  <c r="I102" i="1"/>
  <c r="G101" i="1"/>
  <c r="E100" i="1"/>
  <c r="C99" i="1"/>
  <c r="K97" i="1"/>
  <c r="I96" i="1"/>
  <c r="B117" i="1"/>
  <c r="F121" i="1"/>
  <c r="H114" i="4" s="1"/>
  <c r="D120" i="1"/>
  <c r="L118" i="1"/>
  <c r="N111" i="4" s="1"/>
  <c r="J117" i="1"/>
  <c r="H116" i="1"/>
  <c r="F115" i="1"/>
  <c r="D114" i="1"/>
  <c r="L112" i="1"/>
  <c r="J111" i="1"/>
  <c r="B134" i="1"/>
  <c r="L126" i="1"/>
  <c r="N119" i="4" s="1"/>
  <c r="A35" i="2"/>
  <c r="A36" i="2"/>
  <c r="A28" i="2"/>
  <c r="A37" i="2"/>
  <c r="A26" i="2"/>
  <c r="A38" i="2"/>
  <c r="A27" i="2"/>
  <c r="A39" i="2"/>
  <c r="A40" i="2"/>
  <c r="A29" i="2"/>
  <c r="A41" i="2"/>
  <c r="A31" i="2"/>
  <c r="A33" i="2"/>
  <c r="A34" i="2"/>
  <c r="A30" i="2"/>
  <c r="I125" i="4" l="1"/>
  <c r="H65" i="4"/>
  <c r="G122" i="4"/>
  <c r="H125" i="4"/>
  <c r="G80" i="4"/>
  <c r="G65" i="4"/>
  <c r="K112" i="4"/>
  <c r="H61" i="4"/>
  <c r="H80" i="4"/>
  <c r="M76" i="4"/>
  <c r="N95" i="4"/>
  <c r="N110" i="4"/>
  <c r="I126" i="4"/>
  <c r="I66" i="4"/>
  <c r="L81" i="4"/>
  <c r="I68" i="4"/>
  <c r="I83" i="4"/>
  <c r="E98" i="4"/>
  <c r="E113" i="4"/>
  <c r="E53" i="4"/>
  <c r="E128" i="4"/>
  <c r="E68" i="4"/>
  <c r="E83" i="4"/>
  <c r="L113" i="4"/>
  <c r="L53" i="4"/>
  <c r="L128" i="4"/>
  <c r="L68" i="4"/>
  <c r="L83" i="4"/>
  <c r="L98" i="4"/>
  <c r="G89" i="4"/>
  <c r="G104" i="4"/>
  <c r="G44" i="4"/>
  <c r="G59" i="4"/>
  <c r="G119" i="4"/>
  <c r="G74" i="4"/>
  <c r="D78" i="4"/>
  <c r="D108" i="4"/>
  <c r="N94" i="4"/>
  <c r="I93" i="4"/>
  <c r="I108" i="4"/>
  <c r="M54" i="4"/>
  <c r="M129" i="4"/>
  <c r="J82" i="4"/>
  <c r="J97" i="4"/>
  <c r="J112" i="4"/>
  <c r="J52" i="4"/>
  <c r="J127" i="4"/>
  <c r="J67" i="4"/>
  <c r="G129" i="4"/>
  <c r="G69" i="4"/>
  <c r="G84" i="4"/>
  <c r="G99" i="4"/>
  <c r="G114" i="4"/>
  <c r="G54" i="4"/>
  <c r="H30" i="4"/>
  <c r="L37" i="4"/>
  <c r="K82" i="4" s="1"/>
  <c r="H32" i="4"/>
  <c r="G77" i="4" s="1"/>
  <c r="N104" i="4"/>
  <c r="N44" i="4"/>
  <c r="N59" i="4"/>
  <c r="N74" i="4"/>
  <c r="N89" i="4"/>
  <c r="J84" i="4"/>
  <c r="J99" i="4"/>
  <c r="I122" i="4"/>
  <c r="E104" i="4"/>
  <c r="E44" i="4"/>
  <c r="E59" i="4"/>
  <c r="E119" i="4"/>
  <c r="E74" i="4"/>
  <c r="E89" i="4"/>
  <c r="K29" i="4"/>
  <c r="J74" i="4" s="1"/>
  <c r="F39" i="4"/>
  <c r="L31" i="4"/>
  <c r="K61" i="4" s="1"/>
  <c r="G31" i="4"/>
  <c r="F76" i="4" s="1"/>
  <c r="H31" i="4"/>
  <c r="H78" i="4"/>
  <c r="J119" i="4"/>
  <c r="J104" i="4"/>
  <c r="J44" i="4"/>
  <c r="J59" i="4"/>
  <c r="F94" i="4"/>
  <c r="F109" i="4"/>
  <c r="F49" i="4"/>
  <c r="F124" i="4"/>
  <c r="F64" i="4"/>
  <c r="F79" i="4"/>
  <c r="F104" i="4"/>
  <c r="F44" i="4"/>
  <c r="F59" i="4"/>
  <c r="F119" i="4"/>
  <c r="F74" i="4"/>
  <c r="F89" i="4"/>
  <c r="H69" i="4"/>
  <c r="I76" i="4"/>
  <c r="D89" i="4"/>
  <c r="D63" i="4"/>
  <c r="D52" i="4"/>
  <c r="H89" i="4"/>
  <c r="H104" i="4"/>
  <c r="L50" i="4"/>
  <c r="L125" i="4"/>
  <c r="G124" i="4"/>
  <c r="G64" i="4"/>
  <c r="N46" i="4"/>
  <c r="H83" i="4"/>
  <c r="H98" i="4"/>
  <c r="H113" i="4"/>
  <c r="H53" i="4"/>
  <c r="H128" i="4"/>
  <c r="H68" i="4"/>
  <c r="L30" i="4"/>
  <c r="K60" i="4" s="1"/>
  <c r="I36" i="4"/>
  <c r="F32" i="4"/>
  <c r="L59" i="4"/>
  <c r="J35" i="4"/>
  <c r="L105" i="4"/>
  <c r="L45" i="4"/>
  <c r="M124" i="4"/>
  <c r="K34" i="4"/>
  <c r="J49" i="4" s="1"/>
  <c r="E108" i="4"/>
  <c r="E48" i="4"/>
  <c r="E123" i="4"/>
  <c r="E63" i="4"/>
  <c r="E78" i="4"/>
  <c r="E93" i="4"/>
  <c r="J32" i="4"/>
  <c r="I92" i="4" s="1"/>
  <c r="N39" i="4"/>
  <c r="M69" i="4" s="1"/>
  <c r="M36" i="4"/>
  <c r="L96" i="4" s="1"/>
  <c r="O31" i="4"/>
  <c r="N76" i="4" s="1"/>
  <c r="H38" i="4"/>
  <c r="K36" i="4"/>
  <c r="J96" i="4" s="1"/>
  <c r="G83" i="4"/>
  <c r="G98" i="4"/>
  <c r="G113" i="4"/>
  <c r="G53" i="4"/>
  <c r="G128" i="4"/>
  <c r="G68" i="4"/>
  <c r="M113" i="4"/>
  <c r="M53" i="4"/>
  <c r="J36" i="4"/>
  <c r="I81" i="4" s="1"/>
  <c r="F45" i="4"/>
  <c r="F60" i="4"/>
  <c r="J66" i="4"/>
  <c r="J81" i="4"/>
  <c r="E80" i="4"/>
  <c r="E95" i="4"/>
  <c r="E110" i="4"/>
  <c r="E50" i="4"/>
  <c r="E125" i="4"/>
  <c r="E65" i="4"/>
  <c r="L77" i="4"/>
  <c r="L92" i="4"/>
  <c r="L107" i="4"/>
  <c r="L47" i="4"/>
  <c r="L122" i="4"/>
  <c r="L62" i="4"/>
  <c r="F84" i="4"/>
  <c r="F99" i="4"/>
  <c r="F114" i="4"/>
  <c r="F54" i="4"/>
  <c r="F129" i="4"/>
  <c r="F69" i="4"/>
  <c r="J105" i="4"/>
  <c r="J45" i="4"/>
  <c r="J106" i="4"/>
  <c r="J46" i="4"/>
  <c r="J121" i="4"/>
  <c r="J61" i="4"/>
  <c r="J76" i="4"/>
  <c r="J91" i="4"/>
  <c r="I32" i="4"/>
  <c r="G97" i="4"/>
  <c r="I35" i="4"/>
  <c r="H50" i="4" s="1"/>
  <c r="M108" i="4"/>
  <c r="M48" i="4"/>
  <c r="M123" i="4"/>
  <c r="M63" i="4"/>
  <c r="M78" i="4"/>
  <c r="M93" i="4"/>
  <c r="K39" i="4"/>
  <c r="J114" i="4" s="1"/>
  <c r="N31" i="4"/>
  <c r="M91" i="4" s="1"/>
  <c r="L32" i="4"/>
  <c r="K77" i="4" s="1"/>
  <c r="H39" i="4"/>
  <c r="J33" i="4"/>
  <c r="I48" i="4" s="1"/>
  <c r="L36" i="4"/>
  <c r="H37" i="4"/>
  <c r="G112" i="4" s="1"/>
  <c r="I37" i="4"/>
  <c r="H67" i="4" s="1"/>
  <c r="D93" i="4"/>
  <c r="D48" i="4"/>
  <c r="N90" i="4"/>
  <c r="N105" i="4"/>
  <c r="H52" i="4"/>
  <c r="H127" i="4"/>
  <c r="I44" i="4"/>
  <c r="I59" i="4"/>
  <c r="M80" i="4"/>
  <c r="M95" i="4"/>
  <c r="M110" i="4"/>
  <c r="M50" i="4"/>
  <c r="M125" i="4"/>
  <c r="M65" i="4"/>
  <c r="J78" i="4"/>
  <c r="J93" i="4"/>
  <c r="J123" i="4"/>
  <c r="J63" i="4"/>
  <c r="N84" i="4"/>
  <c r="N99" i="4"/>
  <c r="N114" i="4"/>
  <c r="N54" i="4"/>
  <c r="N129" i="4"/>
  <c r="N69" i="4"/>
  <c r="G30" i="4"/>
  <c r="F120" i="4" s="1"/>
  <c r="E90" i="4"/>
  <c r="E105" i="4"/>
  <c r="E45" i="4"/>
  <c r="E60" i="4"/>
  <c r="E120" i="4"/>
  <c r="E75" i="4"/>
  <c r="L109" i="4"/>
  <c r="L49" i="4"/>
  <c r="L124" i="4"/>
  <c r="L64" i="4"/>
  <c r="L79" i="4"/>
  <c r="L94" i="4"/>
  <c r="K99" i="4"/>
  <c r="K114" i="4"/>
  <c r="K54" i="4"/>
  <c r="K129" i="4"/>
  <c r="K69" i="4"/>
  <c r="K84" i="4"/>
  <c r="G36" i="4"/>
  <c r="K109" i="4"/>
  <c r="K49" i="4"/>
  <c r="K124" i="4"/>
  <c r="K64" i="4"/>
  <c r="K79" i="4"/>
  <c r="K94" i="4"/>
  <c r="M90" i="4"/>
  <c r="M105" i="4"/>
  <c r="M45" i="4"/>
  <c r="M60" i="4"/>
  <c r="M120" i="4"/>
  <c r="M75" i="4"/>
  <c r="K32" i="4"/>
  <c r="J122" i="4" s="1"/>
  <c r="I33" i="4"/>
  <c r="H93" i="4" s="1"/>
  <c r="G34" i="4"/>
  <c r="K33" i="4"/>
  <c r="J108" i="4" s="1"/>
  <c r="J37" i="4"/>
  <c r="I127" i="4" s="1"/>
  <c r="F38" i="4"/>
  <c r="L99" i="4"/>
  <c r="L114" i="4"/>
  <c r="L54" i="4"/>
  <c r="L129" i="4"/>
  <c r="L69" i="4"/>
  <c r="L84" i="4"/>
  <c r="G121" i="4"/>
  <c r="G61" i="4"/>
  <c r="G76" i="4"/>
  <c r="G91" i="4"/>
  <c r="G106" i="4"/>
  <c r="G46" i="4"/>
  <c r="N112" i="4"/>
  <c r="N52" i="4"/>
  <c r="N127" i="4"/>
  <c r="N67" i="4"/>
  <c r="N82" i="4"/>
  <c r="N97" i="4"/>
  <c r="E84" i="4"/>
  <c r="E99" i="4"/>
  <c r="E114" i="4"/>
  <c r="E54" i="4"/>
  <c r="E129" i="4"/>
  <c r="E69" i="4"/>
  <c r="E35" i="4"/>
  <c r="D90" i="4"/>
  <c r="D79" i="4"/>
  <c r="D53" i="4"/>
  <c r="D112" i="4"/>
  <c r="D104" i="4"/>
  <c r="L91" i="4"/>
  <c r="L106" i="4"/>
  <c r="L46" i="4"/>
  <c r="L121" i="4"/>
  <c r="L61" i="4"/>
  <c r="L76" i="4"/>
  <c r="F98" i="4"/>
  <c r="F113" i="4"/>
  <c r="F53" i="4"/>
  <c r="F128" i="4"/>
  <c r="F68" i="4"/>
  <c r="F83" i="4"/>
  <c r="G75" i="4"/>
  <c r="G90" i="4"/>
  <c r="G105" i="4"/>
  <c r="G45" i="4"/>
  <c r="G60" i="4"/>
  <c r="G120" i="4"/>
  <c r="K81" i="4"/>
  <c r="K96" i="4"/>
  <c r="K111" i="4"/>
  <c r="K51" i="4"/>
  <c r="K126" i="4"/>
  <c r="K66" i="4"/>
  <c r="H79" i="4"/>
  <c r="H94" i="4"/>
  <c r="H109" i="4"/>
  <c r="H49" i="4"/>
  <c r="H124" i="4"/>
  <c r="H64" i="4"/>
  <c r="K30" i="4"/>
  <c r="J60" i="4" s="1"/>
  <c r="K59" i="4"/>
  <c r="K119" i="4"/>
  <c r="K74" i="4"/>
  <c r="K89" i="4"/>
  <c r="K104" i="4"/>
  <c r="K44" i="4"/>
  <c r="I29" i="4"/>
  <c r="H44" i="4" s="1"/>
  <c r="K46" i="4"/>
  <c r="K121" i="4"/>
  <c r="J34" i="4"/>
  <c r="I64" i="4" s="1"/>
  <c r="M30" i="4"/>
  <c r="L60" i="4" s="1"/>
  <c r="H111" i="4"/>
  <c r="H51" i="4"/>
  <c r="H126" i="4"/>
  <c r="H66" i="4"/>
  <c r="H81" i="4"/>
  <c r="H96" i="4"/>
  <c r="K35" i="4"/>
  <c r="J50" i="4" s="1"/>
  <c r="M29" i="4"/>
  <c r="L119" i="4" s="1"/>
  <c r="G111" i="4"/>
  <c r="G51" i="4"/>
  <c r="G126" i="4"/>
  <c r="G66" i="4"/>
  <c r="G81" i="4"/>
  <c r="G96" i="4"/>
  <c r="E94" i="4"/>
  <c r="E109" i="4"/>
  <c r="E49" i="4"/>
  <c r="E124" i="4"/>
  <c r="E64" i="4"/>
  <c r="E79" i="4"/>
  <c r="H33" i="4"/>
  <c r="F34" i="4"/>
  <c r="O34" i="4"/>
  <c r="N109" i="4" s="1"/>
  <c r="H34" i="4"/>
  <c r="G79" i="4" s="1"/>
  <c r="O30" i="4"/>
  <c r="N45" i="4" s="1"/>
  <c r="N38" i="4"/>
  <c r="M128" i="4" s="1"/>
  <c r="H120" i="4"/>
  <c r="H75" i="4"/>
  <c r="H90" i="4"/>
  <c r="H105" i="4"/>
  <c r="H45" i="4"/>
  <c r="H60" i="4"/>
  <c r="D105" i="4"/>
  <c r="D74" i="4"/>
  <c r="D59" i="4"/>
  <c r="D64" i="4"/>
  <c r="D95" i="4"/>
  <c r="D94" i="4"/>
  <c r="J92" i="4"/>
  <c r="J107" i="4"/>
  <c r="J47" i="4"/>
  <c r="J62" i="4"/>
  <c r="J77" i="4"/>
  <c r="N98" i="4"/>
  <c r="N113" i="4"/>
  <c r="N53" i="4"/>
  <c r="N128" i="4"/>
  <c r="N68" i="4"/>
  <c r="N83" i="4"/>
  <c r="E76" i="4"/>
  <c r="E91" i="4"/>
  <c r="E106" i="4"/>
  <c r="E46" i="4"/>
  <c r="E61" i="4"/>
  <c r="E121" i="4"/>
  <c r="I112" i="4"/>
  <c r="I52" i="4"/>
  <c r="F80" i="4"/>
  <c r="F95" i="4"/>
  <c r="F110" i="4"/>
  <c r="F50" i="4"/>
  <c r="F125" i="4"/>
  <c r="F65" i="4"/>
  <c r="E32" i="4"/>
  <c r="I60" i="4"/>
  <c r="I120" i="4"/>
  <c r="I75" i="4"/>
  <c r="I90" i="4"/>
  <c r="I105" i="4"/>
  <c r="I45" i="4"/>
  <c r="J110" i="4"/>
  <c r="J65" i="4"/>
  <c r="J80" i="4"/>
  <c r="J95" i="4"/>
  <c r="G93" i="4"/>
  <c r="G108" i="4"/>
  <c r="G48" i="4"/>
  <c r="G123" i="4"/>
  <c r="G63" i="4"/>
  <c r="G78" i="4"/>
  <c r="H35" i="4"/>
  <c r="G50" i="4" s="1"/>
  <c r="J29" i="4"/>
  <c r="I119" i="4" s="1"/>
  <c r="L38" i="4"/>
  <c r="F112" i="4"/>
  <c r="F52" i="4"/>
  <c r="F127" i="4"/>
  <c r="F67" i="4"/>
  <c r="F82" i="4"/>
  <c r="F97" i="4"/>
  <c r="G37" i="4"/>
  <c r="I31" i="4"/>
  <c r="H121" i="4" s="1"/>
  <c r="F30" i="4"/>
  <c r="J38" i="4"/>
  <c r="I98" i="4" s="1"/>
  <c r="N34" i="4"/>
  <c r="M64" i="4" s="1"/>
  <c r="L35" i="4"/>
  <c r="K110" i="4" s="1"/>
  <c r="M35" i="4"/>
  <c r="L65" i="4" s="1"/>
  <c r="O35" i="4"/>
  <c r="N50" i="4" s="1"/>
  <c r="D76" i="4"/>
  <c r="D99" i="4"/>
  <c r="D84" i="4"/>
  <c r="D129" i="4"/>
  <c r="D69" i="4"/>
  <c r="D114" i="4"/>
  <c r="D54" i="4"/>
  <c r="D61" i="4"/>
  <c r="D46" i="4"/>
  <c r="E31" i="4"/>
  <c r="E39" i="4"/>
  <c r="F121" i="4" l="1"/>
  <c r="K62" i="4"/>
  <c r="G110" i="4"/>
  <c r="K68" i="4"/>
  <c r="K53" i="4"/>
  <c r="K128" i="4"/>
  <c r="I97" i="4"/>
  <c r="K106" i="4"/>
  <c r="I104" i="4"/>
  <c r="H112" i="4"/>
  <c r="J90" i="4"/>
  <c r="J126" i="4"/>
  <c r="F105" i="4"/>
  <c r="M98" i="4"/>
  <c r="M109" i="4"/>
  <c r="I50" i="4"/>
  <c r="I80" i="4"/>
  <c r="I65" i="4"/>
  <c r="N61" i="4"/>
  <c r="G49" i="4"/>
  <c r="L110" i="4"/>
  <c r="H63" i="4"/>
  <c r="I77" i="4"/>
  <c r="J69" i="4"/>
  <c r="F61" i="4"/>
  <c r="M114" i="4"/>
  <c r="I78" i="4"/>
  <c r="I128" i="4"/>
  <c r="K122" i="4"/>
  <c r="I51" i="4"/>
  <c r="N80" i="4"/>
  <c r="K120" i="4"/>
  <c r="I79" i="4"/>
  <c r="I124" i="4"/>
  <c r="G125" i="4"/>
  <c r="H122" i="4"/>
  <c r="H47" i="4"/>
  <c r="K80" i="4"/>
  <c r="I82" i="4"/>
  <c r="K91" i="4"/>
  <c r="I89" i="4"/>
  <c r="H97" i="4"/>
  <c r="G82" i="4"/>
  <c r="J75" i="4"/>
  <c r="J51" i="4"/>
  <c r="F90" i="4"/>
  <c r="M94" i="4"/>
  <c r="L44" i="4"/>
  <c r="N121" i="4"/>
  <c r="G109" i="4"/>
  <c r="L95" i="4"/>
  <c r="H123" i="4"/>
  <c r="I62" i="4"/>
  <c r="J129" i="4"/>
  <c r="G47" i="4"/>
  <c r="G107" i="4"/>
  <c r="F46" i="4"/>
  <c r="M99" i="4"/>
  <c r="N79" i="4"/>
  <c r="L66" i="4"/>
  <c r="K47" i="4"/>
  <c r="I111" i="4"/>
  <c r="M61" i="4"/>
  <c r="H62" i="4"/>
  <c r="K83" i="4"/>
  <c r="H46" i="4"/>
  <c r="I110" i="4"/>
  <c r="H107" i="4"/>
  <c r="I74" i="4"/>
  <c r="N75" i="4"/>
  <c r="G67" i="4"/>
  <c r="J120" i="4"/>
  <c r="J111" i="4"/>
  <c r="L90" i="4"/>
  <c r="L104" i="4"/>
  <c r="G94" i="4"/>
  <c r="H74" i="4"/>
  <c r="H48" i="4"/>
  <c r="J54" i="4"/>
  <c r="K127" i="4"/>
  <c r="K52" i="4"/>
  <c r="F106" i="4"/>
  <c r="M84" i="4"/>
  <c r="N64" i="4"/>
  <c r="L126" i="4"/>
  <c r="K107" i="4"/>
  <c r="I96" i="4"/>
  <c r="M121" i="4"/>
  <c r="H77" i="4"/>
  <c r="K97" i="4"/>
  <c r="I95" i="4"/>
  <c r="G62" i="4"/>
  <c r="J109" i="4"/>
  <c r="G92" i="4"/>
  <c r="I49" i="4"/>
  <c r="I94" i="4"/>
  <c r="I109" i="4"/>
  <c r="N120" i="4"/>
  <c r="G127" i="4"/>
  <c r="M83" i="4"/>
  <c r="L75" i="4"/>
  <c r="L89" i="4"/>
  <c r="N106" i="4"/>
  <c r="H119" i="4"/>
  <c r="H108" i="4"/>
  <c r="I47" i="4"/>
  <c r="F91" i="4"/>
  <c r="I63" i="4"/>
  <c r="N124" i="4"/>
  <c r="I53" i="4"/>
  <c r="L51" i="4"/>
  <c r="K92" i="4"/>
  <c r="N65" i="4"/>
  <c r="M46" i="4"/>
  <c r="J64" i="4"/>
  <c r="K113" i="4"/>
  <c r="H76" i="4"/>
  <c r="K105" i="4"/>
  <c r="K75" i="4"/>
  <c r="J124" i="4"/>
  <c r="K65" i="4"/>
  <c r="K50" i="4"/>
  <c r="J125" i="4"/>
  <c r="I67" i="4"/>
  <c r="K76" i="4"/>
  <c r="J48" i="4"/>
  <c r="H82" i="4"/>
  <c r="N60" i="4"/>
  <c r="G52" i="4"/>
  <c r="F75" i="4"/>
  <c r="M68" i="4"/>
  <c r="M79" i="4"/>
  <c r="L120" i="4"/>
  <c r="L74" i="4"/>
  <c r="N91" i="4"/>
  <c r="L80" i="4"/>
  <c r="H59" i="4"/>
  <c r="J89" i="4"/>
  <c r="I107" i="4"/>
  <c r="I123" i="4"/>
  <c r="N49" i="4"/>
  <c r="I113" i="4"/>
  <c r="L111" i="4"/>
  <c r="N125" i="4"/>
  <c r="M106" i="4"/>
  <c r="K98" i="4"/>
  <c r="H106" i="4"/>
  <c r="K67" i="4"/>
  <c r="K90" i="4"/>
  <c r="K45" i="4"/>
  <c r="H110" i="4"/>
  <c r="K95" i="4"/>
  <c r="M49" i="4"/>
  <c r="K125" i="4"/>
  <c r="J94" i="4"/>
  <c r="H92" i="4"/>
  <c r="H95" i="4"/>
  <c r="G95" i="4"/>
  <c r="J79" i="4"/>
  <c r="H91" i="4"/>
</calcChain>
</file>

<file path=xl/sharedStrings.xml><?xml version="1.0" encoding="utf-8"?>
<sst xmlns="http://schemas.openxmlformats.org/spreadsheetml/2006/main" count="108" uniqueCount="54">
  <si>
    <t>Mach</t>
  </si>
  <si>
    <t>density</t>
  </si>
  <si>
    <t>Wing Planform</t>
  </si>
  <si>
    <t>Span (m)</t>
  </si>
  <si>
    <t>Area (m^2)</t>
  </si>
  <si>
    <t>Root Chord (m)</t>
  </si>
  <si>
    <t>Tip Chord (m)</t>
  </si>
  <si>
    <t>Mean Chord (m)</t>
  </si>
  <si>
    <t>AR</t>
  </si>
  <si>
    <t>Average 1/4 Chord Sweep (rad)</t>
  </si>
  <si>
    <t>Sections</t>
  </si>
  <si>
    <t>Section Number</t>
  </si>
  <si>
    <t>0 (Fuselage)</t>
  </si>
  <si>
    <t>1 (Root)</t>
  </si>
  <si>
    <t>2 (Kink)</t>
  </si>
  <si>
    <t>3 (Tip)</t>
  </si>
  <si>
    <t>Chord (m)</t>
  </si>
  <si>
    <t>Spanwise Location (m)</t>
  </si>
  <si>
    <t>LE Sweep (rad)</t>
  </si>
  <si>
    <t>-</t>
  </si>
  <si>
    <t>t/c</t>
  </si>
  <si>
    <t>Wing Location</t>
  </si>
  <si>
    <t>x (m)</t>
  </si>
  <si>
    <t>y (m)</t>
  </si>
  <si>
    <t>z (m)</t>
  </si>
  <si>
    <t>CoG x (m)</t>
  </si>
  <si>
    <t>CoG y (m)</t>
  </si>
  <si>
    <t>CoG z (m)</t>
  </si>
  <si>
    <t>Aerodynamic Center x(m)</t>
  </si>
  <si>
    <t>Incidence Angle (rad)</t>
  </si>
  <si>
    <t>Lift Curve Slope (1/rad)</t>
  </si>
  <si>
    <t>Airfoil/Pressure Influence</t>
  </si>
  <si>
    <t>Cm0</t>
  </si>
  <si>
    <t>CM0</t>
  </si>
  <si>
    <t>CL0</t>
  </si>
  <si>
    <t>Dry Wing Mass (kg)</t>
  </si>
  <si>
    <t>CD0</t>
  </si>
  <si>
    <t>k</t>
  </si>
  <si>
    <t>TR</t>
  </si>
  <si>
    <t>theta0</t>
  </si>
  <si>
    <t>Temp</t>
  </si>
  <si>
    <t>Altitude</t>
  </si>
  <si>
    <t>Pressure</t>
  </si>
  <si>
    <t>Density</t>
  </si>
  <si>
    <t>a</t>
  </si>
  <si>
    <t>sig0</t>
  </si>
  <si>
    <t>T_SL</t>
  </si>
  <si>
    <t>W</t>
  </si>
  <si>
    <t>CL</t>
  </si>
  <si>
    <t>S</t>
  </si>
  <si>
    <t>TSL</t>
  </si>
  <si>
    <t>Drag</t>
  </si>
  <si>
    <t>V</t>
  </si>
  <si>
    <t>clMAX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</si>
</sst>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1"/>
  </cellXfs>
  <cellStyles count="2">
    <cellStyle name="İyi" xfId="1" builtinId="26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7F66-64D9-49AA-AB78-68C29CF2F45C}">
  <dimension ref="A1:G50"/>
  <sheetViews>
    <sheetView zoomScaleNormal="100" workbookViewId="0">
      <selection activeCell="C49" sqref="C49"/>
    </sheetView>
  </sheetViews>
  <sheetFormatPr defaultColWidth="8.7109375" defaultRowHeight="15" x14ac:dyDescent="0.25"/>
  <cols>
    <col min="1" max="1" width="24.140625" bestFit="1" customWidth="1"/>
    <col min="2" max="2" width="15.85546875" bestFit="1" customWidth="1"/>
    <col min="3" max="3" width="29" bestFit="1" customWidth="1"/>
    <col min="4" max="4" width="13.140625" bestFit="1" customWidth="1"/>
    <col min="5" max="5" width="17.7109375" bestFit="1" customWidth="1"/>
    <col min="6" max="6" width="15.42578125" bestFit="1" customWidth="1"/>
    <col min="7" max="7" width="29" bestFit="1" customWidth="1"/>
  </cols>
  <sheetData>
    <row r="1" spans="1:7" ht="18.75" x14ac:dyDescent="0.3">
      <c r="A1" s="1" t="s">
        <v>2</v>
      </c>
      <c r="B1" s="2"/>
      <c r="C1" s="2"/>
      <c r="D1" s="2"/>
      <c r="E1" s="2"/>
      <c r="F1" s="2"/>
      <c r="G1" s="2"/>
    </row>
    <row r="2" spans="1:7" x14ac:dyDescent="0.25">
      <c r="A2" s="2" t="s">
        <v>3</v>
      </c>
      <c r="B2" s="2" t="s">
        <v>4</v>
      </c>
      <c r="C2" s="2" t="s">
        <v>5</v>
      </c>
      <c r="D2" s="2" t="s">
        <v>6</v>
      </c>
    </row>
    <row r="3" spans="1:7" x14ac:dyDescent="0.25">
      <c r="A3">
        <v>34.32</v>
      </c>
      <c r="B3">
        <v>124.02</v>
      </c>
      <c r="C3" s="3">
        <v>6.18</v>
      </c>
      <c r="D3" s="3">
        <v>1.05</v>
      </c>
    </row>
    <row r="4" spans="1:7" x14ac:dyDescent="0.25">
      <c r="A4" s="2" t="s">
        <v>7</v>
      </c>
      <c r="B4" s="2" t="s">
        <v>8</v>
      </c>
      <c r="C4" s="2" t="s">
        <v>9</v>
      </c>
    </row>
    <row r="5" spans="1:7" x14ac:dyDescent="0.25">
      <c r="A5">
        <v>4.32</v>
      </c>
      <c r="B5" s="3">
        <f>A3^2/B3</f>
        <v>9.4973584905660378</v>
      </c>
      <c r="C5" s="4">
        <f>25*PI()/180</f>
        <v>0.43633231299858238</v>
      </c>
    </row>
    <row r="6" spans="1:7" x14ac:dyDescent="0.25">
      <c r="G6" s="2"/>
    </row>
    <row r="7" spans="1:7" ht="18.75" x14ac:dyDescent="0.3">
      <c r="A7" s="1" t="s">
        <v>10</v>
      </c>
    </row>
    <row r="8" spans="1:7" x14ac:dyDescent="0.2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/>
    </row>
    <row r="9" spans="1:7" x14ac:dyDescent="0.25">
      <c r="A9" s="2" t="s">
        <v>16</v>
      </c>
      <c r="B9">
        <v>6.181048133</v>
      </c>
      <c r="C9">
        <v>6.181048133</v>
      </c>
      <c r="D9">
        <v>4.4345343279999998</v>
      </c>
      <c r="E9">
        <v>1.050778183</v>
      </c>
    </row>
    <row r="10" spans="1:7" x14ac:dyDescent="0.25">
      <c r="A10" s="2" t="s">
        <v>17</v>
      </c>
      <c r="B10">
        <v>0</v>
      </c>
      <c r="C10">
        <v>1.983993414</v>
      </c>
      <c r="D10">
        <v>5.1487330589999996</v>
      </c>
      <c r="E10">
        <v>17.162443530000001</v>
      </c>
    </row>
    <row r="11" spans="1:7" x14ac:dyDescent="0.25">
      <c r="A11" s="2" t="s">
        <v>18</v>
      </c>
      <c r="B11" t="s">
        <v>19</v>
      </c>
      <c r="C11">
        <f>31.14*PI()/180</f>
        <v>0.54349552907103427</v>
      </c>
      <c r="D11">
        <f>28.22*PI()/180</f>
        <v>0.49253191491279974</v>
      </c>
      <c r="E11">
        <f>28.22*PI()/180</f>
        <v>0.49253191491279974</v>
      </c>
    </row>
    <row r="12" spans="1:7" x14ac:dyDescent="0.25">
      <c r="A12" s="2" t="s">
        <v>20</v>
      </c>
      <c r="B12">
        <v>0.15</v>
      </c>
      <c r="C12">
        <v>0.15</v>
      </c>
      <c r="D12">
        <v>0.1368</v>
      </c>
      <c r="E12">
        <v>8.6499999999999994E-2</v>
      </c>
    </row>
    <row r="14" spans="1:7" ht="18.75" x14ac:dyDescent="0.3">
      <c r="A14" s="1" t="s">
        <v>21</v>
      </c>
      <c r="B14" s="2"/>
      <c r="C14" s="2"/>
    </row>
    <row r="15" spans="1:7" x14ac:dyDescent="0.25">
      <c r="A15" s="2" t="s">
        <v>22</v>
      </c>
      <c r="B15" s="2" t="s">
        <v>23</v>
      </c>
      <c r="C15" s="2" t="s">
        <v>24</v>
      </c>
    </row>
    <row r="16" spans="1:7" x14ac:dyDescent="0.25">
      <c r="A16">
        <v>12.423653910000001</v>
      </c>
      <c r="B16">
        <v>0</v>
      </c>
      <c r="C16">
        <v>-1.2330716779999999</v>
      </c>
    </row>
    <row r="17" spans="1:5" x14ac:dyDescent="0.25">
      <c r="A17" s="2" t="s">
        <v>25</v>
      </c>
      <c r="B17" s="2" t="s">
        <v>26</v>
      </c>
      <c r="C17" s="2" t="s">
        <v>27</v>
      </c>
    </row>
    <row r="18" spans="1:5" x14ac:dyDescent="0.25">
      <c r="A18">
        <v>16.39</v>
      </c>
      <c r="B18">
        <v>0</v>
      </c>
      <c r="C18">
        <v>-0.92</v>
      </c>
    </row>
    <row r="19" spans="1:5" x14ac:dyDescent="0.25">
      <c r="A19" s="2" t="s">
        <v>28</v>
      </c>
    </row>
    <row r="20" spans="1:5" x14ac:dyDescent="0.25">
      <c r="A20">
        <v>15.6</v>
      </c>
      <c r="C20">
        <v>15.6</v>
      </c>
    </row>
    <row r="21" spans="1:5" x14ac:dyDescent="0.25">
      <c r="A21" s="2" t="s">
        <v>29</v>
      </c>
    </row>
    <row r="22" spans="1:5" x14ac:dyDescent="0.25">
      <c r="A22">
        <f>1*PI()/180</f>
        <v>1.7453292519943295E-2</v>
      </c>
      <c r="D22" s="2"/>
      <c r="E22" s="2"/>
    </row>
    <row r="24" spans="1:5" x14ac:dyDescent="0.25">
      <c r="A24" s="2" t="s">
        <v>30</v>
      </c>
      <c r="B24" s="2" t="s">
        <v>0</v>
      </c>
      <c r="C24" s="2" t="s">
        <v>31</v>
      </c>
    </row>
    <row r="25" spans="1:5" x14ac:dyDescent="0.25">
      <c r="A25">
        <f>2*PI()*$B$5/(2+SQRT(4+$B$5^2*(1-B25^2)/$C$25*(1+TAN($C$5)^2/(1-B25^2))))</f>
        <v>5.1116967444209394</v>
      </c>
      <c r="B25">
        <v>0.1</v>
      </c>
      <c r="C25">
        <f>(1+0.75*D12)^2</f>
        <v>1.2157267600000001</v>
      </c>
    </row>
    <row r="26" spans="1:5" x14ac:dyDescent="0.25">
      <c r="A26">
        <f t="shared" ref="A26:A41" si="0">2*PI()*$B$5/(2+SQRT(4+$B$5^2*(1-B26^2)/$C$25*(1+TAN($C$5)^2/(1-B26^2))))</f>
        <v>5.1328250634425352</v>
      </c>
      <c r="B26">
        <v>0.15</v>
      </c>
      <c r="C26" s="3"/>
    </row>
    <row r="27" spans="1:5" x14ac:dyDescent="0.25">
      <c r="A27">
        <f t="shared" si="0"/>
        <v>5.1628811327029709</v>
      </c>
      <c r="B27">
        <v>0.2</v>
      </c>
      <c r="C27" s="3"/>
    </row>
    <row r="28" spans="1:5" x14ac:dyDescent="0.25">
      <c r="A28">
        <f t="shared" si="0"/>
        <v>5.2023681022566288</v>
      </c>
      <c r="B28">
        <v>0.25</v>
      </c>
      <c r="C28" s="3"/>
    </row>
    <row r="29" spans="1:5" x14ac:dyDescent="0.25">
      <c r="A29">
        <f t="shared" si="0"/>
        <v>5.2519739134159416</v>
      </c>
      <c r="B29">
        <v>0.3</v>
      </c>
      <c r="C29" s="3"/>
    </row>
    <row r="30" spans="1:5" x14ac:dyDescent="0.25">
      <c r="A30">
        <f t="shared" si="0"/>
        <v>5.3126075690033101</v>
      </c>
      <c r="B30">
        <v>0.35</v>
      </c>
      <c r="C30" s="3"/>
    </row>
    <row r="31" spans="1:5" x14ac:dyDescent="0.25">
      <c r="A31">
        <f t="shared" si="0"/>
        <v>5.3854507111408312</v>
      </c>
      <c r="B31">
        <v>0.4</v>
      </c>
      <c r="C31" s="3"/>
    </row>
    <row r="32" spans="1:5" x14ac:dyDescent="0.25">
      <c r="A32">
        <f t="shared" si="0"/>
        <v>5.435635334743556</v>
      </c>
      <c r="B32">
        <v>0.43</v>
      </c>
      <c r="C32" s="3"/>
    </row>
    <row r="33" spans="1:3" x14ac:dyDescent="0.25">
      <c r="A33">
        <f t="shared" si="0"/>
        <v>5.4720308037642234</v>
      </c>
      <c r="B33">
        <v>0.45</v>
      </c>
      <c r="C33" s="3"/>
    </row>
    <row r="34" spans="1:3" x14ac:dyDescent="0.25">
      <c r="A34">
        <f t="shared" si="0"/>
        <v>5.5743258565353901</v>
      </c>
      <c r="B34">
        <v>0.5</v>
      </c>
      <c r="C34" s="3"/>
    </row>
    <row r="35" spans="1:3" x14ac:dyDescent="0.25">
      <c r="A35">
        <f t="shared" si="0"/>
        <v>5.6949167236777107</v>
      </c>
      <c r="B35">
        <v>0.55000000000000004</v>
      </c>
      <c r="C35" s="3"/>
    </row>
    <row r="36" spans="1:3" x14ac:dyDescent="0.25">
      <c r="A36">
        <f t="shared" si="0"/>
        <v>5.8372136323915029</v>
      </c>
      <c r="B36">
        <v>0.6</v>
      </c>
      <c r="C36" s="3"/>
    </row>
    <row r="37" spans="1:3" x14ac:dyDescent="0.25">
      <c r="A37">
        <f t="shared" si="0"/>
        <v>6.0058029110613234</v>
      </c>
      <c r="B37">
        <v>0.65</v>
      </c>
      <c r="C37" s="3"/>
    </row>
    <row r="38" spans="1:3" x14ac:dyDescent="0.25">
      <c r="A38">
        <f t="shared" si="0"/>
        <v>6.206996785244268</v>
      </c>
      <c r="B38">
        <v>0.7</v>
      </c>
      <c r="C38" s="3"/>
    </row>
    <row r="39" spans="1:3" x14ac:dyDescent="0.25">
      <c r="A39">
        <f t="shared" si="0"/>
        <v>6.4497437888779787</v>
      </c>
      <c r="B39">
        <v>0.75</v>
      </c>
      <c r="C39" s="3"/>
    </row>
    <row r="40" spans="1:3" x14ac:dyDescent="0.25">
      <c r="A40">
        <f t="shared" si="0"/>
        <v>6.5043380956121259</v>
      </c>
      <c r="B40">
        <v>0.76</v>
      </c>
      <c r="C40" s="3"/>
    </row>
    <row r="41" spans="1:3" x14ac:dyDescent="0.25">
      <c r="A41">
        <f t="shared" si="0"/>
        <v>6.6205687276738301</v>
      </c>
      <c r="B41">
        <v>0.78</v>
      </c>
      <c r="C41" s="3"/>
    </row>
    <row r="43" spans="1:3" x14ac:dyDescent="0.25">
      <c r="A43" s="2" t="s">
        <v>32</v>
      </c>
      <c r="B43" s="2" t="s">
        <v>33</v>
      </c>
      <c r="C43" s="2" t="s">
        <v>34</v>
      </c>
    </row>
    <row r="44" spans="1:3" x14ac:dyDescent="0.25">
      <c r="A44">
        <v>-0.04</v>
      </c>
      <c r="B44">
        <f>A44*(B5*COS(C5)^2)/(B5+2*COS(C5))</f>
        <v>-2.7590059471194157E-2</v>
      </c>
      <c r="C44">
        <v>0.12</v>
      </c>
    </row>
    <row r="46" spans="1:3" x14ac:dyDescent="0.25">
      <c r="A46" s="2" t="s">
        <v>35</v>
      </c>
    </row>
    <row r="47" spans="1:3" x14ac:dyDescent="0.25">
      <c r="A47" s="3">
        <v>8227.2999999999993</v>
      </c>
    </row>
    <row r="49" spans="1:2" x14ac:dyDescent="0.25">
      <c r="A49" t="s">
        <v>36</v>
      </c>
      <c r="B49" t="s">
        <v>37</v>
      </c>
    </row>
    <row r="50" spans="1:2" x14ac:dyDescent="0.25">
      <c r="A50">
        <v>2.7E-2</v>
      </c>
      <c r="B50">
        <f>1/(PI()*B5*0.85)</f>
        <v>3.9430144646191496E-2</v>
      </c>
    </row>
  </sheetData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BD7-0CB5-4CA9-B52C-B16068E98FA0}">
  <dimension ref="A1:X136"/>
  <sheetViews>
    <sheetView topLeftCell="A121" workbookViewId="0">
      <selection activeCell="G57" sqref="G57"/>
    </sheetView>
  </sheetViews>
  <sheetFormatPr defaultRowHeight="15" x14ac:dyDescent="0.25"/>
  <sheetData>
    <row r="1" spans="1:24" x14ac:dyDescent="0.25">
      <c r="A1" t="s">
        <v>0</v>
      </c>
      <c r="B1" t="s">
        <v>44</v>
      </c>
      <c r="D1" t="s">
        <v>41</v>
      </c>
      <c r="E1" t="s">
        <v>40</v>
      </c>
      <c r="F1" t="s">
        <v>42</v>
      </c>
      <c r="G1" t="s">
        <v>43</v>
      </c>
      <c r="I1" t="s">
        <v>46</v>
      </c>
    </row>
    <row r="2" spans="1:24" x14ac:dyDescent="0.25">
      <c r="A2">
        <v>0</v>
      </c>
      <c r="B2">
        <v>340.3</v>
      </c>
      <c r="D2">
        <v>0</v>
      </c>
      <c r="E2">
        <v>288.14999999999998</v>
      </c>
      <c r="F2">
        <v>10.130000000000001</v>
      </c>
      <c r="G2">
        <v>1.2250000000000001</v>
      </c>
      <c r="I2">
        <v>105000</v>
      </c>
    </row>
    <row r="3" spans="1:24" x14ac:dyDescent="0.25">
      <c r="A3">
        <v>0.1</v>
      </c>
      <c r="B3">
        <v>336.4</v>
      </c>
      <c r="D3">
        <v>1000</v>
      </c>
      <c r="E3">
        <v>281.7</v>
      </c>
      <c r="F3">
        <v>8.9879999999999995</v>
      </c>
      <c r="G3">
        <v>1.1120000000000001</v>
      </c>
    </row>
    <row r="4" spans="1:24" x14ac:dyDescent="0.25">
      <c r="A4">
        <v>0.2</v>
      </c>
      <c r="B4">
        <v>332.5</v>
      </c>
      <c r="D4">
        <v>2000</v>
      </c>
      <c r="E4">
        <v>275.2</v>
      </c>
      <c r="F4">
        <v>7.95</v>
      </c>
      <c r="G4">
        <v>1.0069999999999999</v>
      </c>
    </row>
    <row r="5" spans="1:24" x14ac:dyDescent="0.25">
      <c r="A5">
        <v>0.3</v>
      </c>
      <c r="B5">
        <v>328.6</v>
      </c>
      <c r="D5">
        <v>3000</v>
      </c>
      <c r="E5">
        <v>268.7</v>
      </c>
      <c r="F5">
        <v>7.0119999999999996</v>
      </c>
      <c r="G5">
        <v>0.9093</v>
      </c>
    </row>
    <row r="6" spans="1:24" x14ac:dyDescent="0.25">
      <c r="A6">
        <v>0.4</v>
      </c>
      <c r="B6">
        <v>324.60000000000002</v>
      </c>
      <c r="D6">
        <v>4000</v>
      </c>
      <c r="E6">
        <v>262.2</v>
      </c>
      <c r="F6">
        <v>6.1660000000000004</v>
      </c>
      <c r="G6">
        <v>0.81940000000000002</v>
      </c>
    </row>
    <row r="7" spans="1:24" x14ac:dyDescent="0.25">
      <c r="A7">
        <v>0.5</v>
      </c>
      <c r="B7">
        <v>320.5</v>
      </c>
      <c r="D7">
        <v>5000</v>
      </c>
      <c r="E7">
        <v>255.7</v>
      </c>
      <c r="F7">
        <v>5.4050000000000002</v>
      </c>
      <c r="G7">
        <v>0.73640000000000005</v>
      </c>
      <c r="S7">
        <v>0</v>
      </c>
      <c r="T7">
        <v>15</v>
      </c>
      <c r="U7">
        <v>9.8070000000000004</v>
      </c>
      <c r="V7">
        <v>10.130000000000001</v>
      </c>
      <c r="W7">
        <v>1.2250000000000001</v>
      </c>
      <c r="X7">
        <v>1.7889999999999999</v>
      </c>
    </row>
    <row r="8" spans="1:24" x14ac:dyDescent="0.25">
      <c r="A8">
        <v>0.6</v>
      </c>
      <c r="B8">
        <v>316.5</v>
      </c>
      <c r="D8">
        <v>6000</v>
      </c>
      <c r="E8">
        <v>249.2</v>
      </c>
      <c r="F8">
        <v>4.7220000000000004</v>
      </c>
      <c r="G8">
        <v>0.66010000000000002</v>
      </c>
      <c r="S8">
        <v>1000</v>
      </c>
      <c r="T8">
        <v>8.5</v>
      </c>
      <c r="U8">
        <v>9.8040000000000003</v>
      </c>
      <c r="V8">
        <v>8.9879999999999995</v>
      </c>
      <c r="W8">
        <v>1.1120000000000001</v>
      </c>
      <c r="X8">
        <v>1.758</v>
      </c>
    </row>
    <row r="9" spans="1:24" x14ac:dyDescent="0.25">
      <c r="A9">
        <v>0.7</v>
      </c>
      <c r="B9">
        <v>312.3</v>
      </c>
      <c r="D9">
        <v>7000</v>
      </c>
      <c r="E9">
        <v>242.7</v>
      </c>
      <c r="F9">
        <v>4.1109999999999998</v>
      </c>
      <c r="G9">
        <v>0.59</v>
      </c>
      <c r="S9">
        <v>2000</v>
      </c>
      <c r="T9">
        <v>2</v>
      </c>
      <c r="U9">
        <v>9.8010000000000002</v>
      </c>
      <c r="V9">
        <v>7.95</v>
      </c>
      <c r="W9">
        <v>1.0069999999999999</v>
      </c>
      <c r="X9">
        <v>1.726</v>
      </c>
    </row>
    <row r="10" spans="1:24" x14ac:dyDescent="0.25">
      <c r="A10">
        <v>0.8</v>
      </c>
      <c r="B10">
        <v>308.10000000000002</v>
      </c>
      <c r="D10">
        <v>8000</v>
      </c>
      <c r="E10">
        <v>236.2</v>
      </c>
      <c r="F10">
        <v>3.5649999999999999</v>
      </c>
      <c r="G10">
        <v>0.52580000000000005</v>
      </c>
      <c r="S10">
        <v>3000</v>
      </c>
      <c r="T10">
        <v>-4.49</v>
      </c>
      <c r="U10">
        <v>9.7970000000000006</v>
      </c>
      <c r="V10">
        <v>7.0119999999999996</v>
      </c>
      <c r="W10">
        <v>0.9093</v>
      </c>
      <c r="X10">
        <v>1.694</v>
      </c>
    </row>
    <row r="11" spans="1:24" x14ac:dyDescent="0.25">
      <c r="A11">
        <v>0.9</v>
      </c>
      <c r="B11">
        <v>303.8</v>
      </c>
      <c r="D11">
        <v>9000</v>
      </c>
      <c r="E11">
        <v>229.7</v>
      </c>
      <c r="F11">
        <v>3.08</v>
      </c>
      <c r="G11">
        <v>0.46710000000000002</v>
      </c>
      <c r="S11">
        <v>4000</v>
      </c>
      <c r="T11">
        <v>-10.98</v>
      </c>
      <c r="U11">
        <v>9.7940000000000005</v>
      </c>
      <c r="V11">
        <v>6.1660000000000004</v>
      </c>
      <c r="W11">
        <v>0.81940000000000002</v>
      </c>
      <c r="X11">
        <v>1.661</v>
      </c>
    </row>
    <row r="12" spans="1:24" x14ac:dyDescent="0.25">
      <c r="A12">
        <v>1</v>
      </c>
      <c r="B12">
        <v>299.5</v>
      </c>
      <c r="D12">
        <v>10000</v>
      </c>
      <c r="E12">
        <v>223.3</v>
      </c>
      <c r="F12">
        <v>2.65</v>
      </c>
      <c r="G12">
        <v>0.41349999999999998</v>
      </c>
      <c r="S12">
        <v>5000</v>
      </c>
      <c r="T12">
        <v>-17.47</v>
      </c>
      <c r="U12">
        <v>9.7910000000000004</v>
      </c>
      <c r="V12">
        <v>5.4050000000000002</v>
      </c>
      <c r="W12">
        <v>0.73640000000000005</v>
      </c>
      <c r="X12">
        <v>1.6279999999999999</v>
      </c>
    </row>
    <row r="13" spans="1:24" x14ac:dyDescent="0.25">
      <c r="S13">
        <v>6000</v>
      </c>
      <c r="T13">
        <v>-23.96</v>
      </c>
      <c r="U13">
        <v>9.7880000000000003</v>
      </c>
      <c r="V13">
        <v>4.7220000000000004</v>
      </c>
      <c r="W13">
        <v>0.66010000000000002</v>
      </c>
      <c r="X13">
        <v>1.595</v>
      </c>
    </row>
    <row r="14" spans="1:24" x14ac:dyDescent="0.25">
      <c r="S14">
        <v>7000</v>
      </c>
      <c r="T14">
        <v>-30.45</v>
      </c>
      <c r="U14">
        <v>9.7850000000000001</v>
      </c>
      <c r="V14">
        <v>4.1109999999999998</v>
      </c>
      <c r="W14">
        <v>0.59</v>
      </c>
      <c r="X14">
        <v>1.5609999999999999</v>
      </c>
    </row>
    <row r="15" spans="1:24" x14ac:dyDescent="0.25">
      <c r="S15">
        <v>8000</v>
      </c>
      <c r="T15">
        <v>-36.94</v>
      </c>
      <c r="U15">
        <v>9.782</v>
      </c>
      <c r="V15">
        <v>3.5649999999999999</v>
      </c>
      <c r="W15">
        <v>0.52580000000000005</v>
      </c>
      <c r="X15">
        <v>1.5269999999999999</v>
      </c>
    </row>
    <row r="16" spans="1:24" x14ac:dyDescent="0.25">
      <c r="S16">
        <v>9000</v>
      </c>
      <c r="T16">
        <v>-43.42</v>
      </c>
      <c r="U16">
        <v>9.7789999999999999</v>
      </c>
      <c r="V16">
        <v>3.08</v>
      </c>
      <c r="W16">
        <v>0.46710000000000002</v>
      </c>
      <c r="X16">
        <v>1.4930000000000001</v>
      </c>
    </row>
    <row r="17" spans="1:24" x14ac:dyDescent="0.25">
      <c r="S17">
        <v>10000</v>
      </c>
      <c r="T17">
        <v>-49.9</v>
      </c>
      <c r="U17">
        <v>9.7759999999999998</v>
      </c>
      <c r="V17">
        <v>2.65</v>
      </c>
      <c r="W17">
        <v>0.41349999999999998</v>
      </c>
      <c r="X17">
        <v>1.458</v>
      </c>
    </row>
    <row r="19" spans="1:24" x14ac:dyDescent="0.25">
      <c r="A19" t="s">
        <v>39</v>
      </c>
      <c r="B19" s="7" t="s">
        <v>0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24" x14ac:dyDescent="0.25">
      <c r="B20">
        <v>0</v>
      </c>
      <c r="C20">
        <v>0.1</v>
      </c>
      <c r="D20">
        <v>0.2</v>
      </c>
      <c r="E20">
        <v>0.3</v>
      </c>
      <c r="F20">
        <v>0.4</v>
      </c>
      <c r="G20">
        <v>0.5</v>
      </c>
      <c r="H20">
        <v>0.6</v>
      </c>
      <c r="I20">
        <v>0.7</v>
      </c>
      <c r="J20">
        <v>0.8</v>
      </c>
      <c r="K20">
        <v>0.9</v>
      </c>
      <c r="L20">
        <v>1</v>
      </c>
    </row>
    <row r="21" spans="1:24" x14ac:dyDescent="0.25">
      <c r="A21">
        <v>0</v>
      </c>
      <c r="B21">
        <f>$E2/$E$2*(1+0.4/2*B$20^2)</f>
        <v>1</v>
      </c>
      <c r="C21">
        <f t="shared" ref="C21:L21" si="0">$E2/$E$2*(1+0.4/2*C$20^2)</f>
        <v>1.002</v>
      </c>
      <c r="D21">
        <f t="shared" si="0"/>
        <v>1.008</v>
      </c>
      <c r="E21">
        <f t="shared" si="0"/>
        <v>1.018</v>
      </c>
      <c r="F21">
        <f t="shared" si="0"/>
        <v>1.032</v>
      </c>
      <c r="G21">
        <f t="shared" si="0"/>
        <v>1.05</v>
      </c>
      <c r="H21">
        <f t="shared" si="0"/>
        <v>1.0720000000000001</v>
      </c>
      <c r="I21">
        <f t="shared" si="0"/>
        <v>1.0980000000000001</v>
      </c>
      <c r="J21">
        <f t="shared" si="0"/>
        <v>1.1280000000000001</v>
      </c>
      <c r="K21">
        <f t="shared" si="0"/>
        <v>1.1619999999999999</v>
      </c>
      <c r="L21">
        <f t="shared" si="0"/>
        <v>1.2</v>
      </c>
      <c r="M21" s="6" t="s">
        <v>41</v>
      </c>
    </row>
    <row r="22" spans="1:24" x14ac:dyDescent="0.25">
      <c r="A22">
        <v>1000</v>
      </c>
      <c r="B22">
        <f>$E3/$E$2*(1+0.4/2*B$20^2)</f>
        <v>0.97761582509109846</v>
      </c>
      <c r="C22">
        <f t="shared" ref="B22:L31" si="1">$E3/$E$2*(1+0.4/2*C$20^2)</f>
        <v>0.97957105674128064</v>
      </c>
      <c r="D22">
        <f t="shared" si="1"/>
        <v>0.98543675169182721</v>
      </c>
      <c r="E22">
        <f t="shared" si="1"/>
        <v>0.99521290994273826</v>
      </c>
      <c r="F22">
        <f t="shared" si="1"/>
        <v>1.0088995314940137</v>
      </c>
      <c r="G22">
        <f t="shared" si="1"/>
        <v>1.0264966163456535</v>
      </c>
      <c r="H22">
        <f t="shared" si="1"/>
        <v>1.0480041644976577</v>
      </c>
      <c r="I22">
        <f t="shared" si="1"/>
        <v>1.0734221759500262</v>
      </c>
      <c r="J22">
        <f t="shared" si="1"/>
        <v>1.1027506507027591</v>
      </c>
      <c r="K22">
        <f t="shared" si="1"/>
        <v>1.1359895887558564</v>
      </c>
      <c r="L22">
        <f t="shared" si="1"/>
        <v>1.1731389901093181</v>
      </c>
      <c r="M22" s="6"/>
    </row>
    <row r="23" spans="1:24" x14ac:dyDescent="0.25">
      <c r="A23">
        <v>2000</v>
      </c>
      <c r="B23">
        <f t="shared" si="1"/>
        <v>0.95505812944646884</v>
      </c>
      <c r="C23">
        <f t="shared" si="1"/>
        <v>0.95696824570536176</v>
      </c>
      <c r="D23">
        <f t="shared" si="1"/>
        <v>0.96269859448204065</v>
      </c>
      <c r="E23">
        <f t="shared" si="1"/>
        <v>0.97224917577650527</v>
      </c>
      <c r="F23">
        <f t="shared" si="1"/>
        <v>0.98561998958875585</v>
      </c>
      <c r="G23">
        <f t="shared" si="1"/>
        <v>1.0028110359187923</v>
      </c>
      <c r="H23">
        <f t="shared" si="1"/>
        <v>1.0238223147666146</v>
      </c>
      <c r="I23">
        <f t="shared" si="1"/>
        <v>1.0486538261322229</v>
      </c>
      <c r="J23">
        <f t="shared" si="1"/>
        <v>1.0773055700156169</v>
      </c>
      <c r="K23">
        <f t="shared" si="1"/>
        <v>1.1097775464167967</v>
      </c>
      <c r="L23">
        <f t="shared" si="1"/>
        <v>1.1460697553357626</v>
      </c>
      <c r="M23" s="6"/>
    </row>
    <row r="24" spans="1:24" x14ac:dyDescent="0.25">
      <c r="A24">
        <v>3000</v>
      </c>
      <c r="B24">
        <f t="shared" si="1"/>
        <v>0.93250043380183933</v>
      </c>
      <c r="C24">
        <f t="shared" si="1"/>
        <v>0.934365434669443</v>
      </c>
      <c r="D24">
        <f t="shared" si="1"/>
        <v>0.93996043727225409</v>
      </c>
      <c r="E24">
        <f t="shared" si="1"/>
        <v>0.94928544161027251</v>
      </c>
      <c r="F24">
        <f t="shared" si="1"/>
        <v>0.96234044768349825</v>
      </c>
      <c r="G24">
        <f t="shared" si="1"/>
        <v>0.97912545549193131</v>
      </c>
      <c r="H24">
        <f t="shared" si="1"/>
        <v>0.9996404650355718</v>
      </c>
      <c r="I24">
        <f t="shared" si="1"/>
        <v>1.0238854763144196</v>
      </c>
      <c r="J24">
        <f t="shared" si="1"/>
        <v>1.0518604893284749</v>
      </c>
      <c r="K24">
        <f t="shared" si="1"/>
        <v>1.0835655040777372</v>
      </c>
      <c r="L24">
        <f t="shared" si="1"/>
        <v>1.1190005205622071</v>
      </c>
      <c r="M24" s="6"/>
    </row>
    <row r="25" spans="1:24" x14ac:dyDescent="0.25">
      <c r="A25">
        <v>4000</v>
      </c>
      <c r="B25">
        <f t="shared" si="1"/>
        <v>0.90994273815720983</v>
      </c>
      <c r="C25">
        <f t="shared" si="1"/>
        <v>0.91176262363352423</v>
      </c>
      <c r="D25">
        <f t="shared" si="1"/>
        <v>0.91722228006246753</v>
      </c>
      <c r="E25">
        <f t="shared" si="1"/>
        <v>0.92632170744403963</v>
      </c>
      <c r="F25">
        <f t="shared" si="1"/>
        <v>0.93906090577824053</v>
      </c>
      <c r="G25">
        <f t="shared" si="1"/>
        <v>0.95543987506507033</v>
      </c>
      <c r="H25">
        <f t="shared" si="1"/>
        <v>0.97545861530452904</v>
      </c>
      <c r="I25">
        <f t="shared" si="1"/>
        <v>0.99911712649661644</v>
      </c>
      <c r="J25">
        <f t="shared" si="1"/>
        <v>1.0264154086413328</v>
      </c>
      <c r="K25">
        <f t="shared" si="1"/>
        <v>1.0573534617386777</v>
      </c>
      <c r="L25">
        <f t="shared" si="1"/>
        <v>1.0919312857886518</v>
      </c>
      <c r="M25" s="6"/>
    </row>
    <row r="26" spans="1:24" x14ac:dyDescent="0.25">
      <c r="A26">
        <v>5000</v>
      </c>
      <c r="B26">
        <f t="shared" si="1"/>
        <v>0.88738504251258032</v>
      </c>
      <c r="C26">
        <f t="shared" si="1"/>
        <v>0.88915981259760546</v>
      </c>
      <c r="D26">
        <f t="shared" si="1"/>
        <v>0.89448412285268097</v>
      </c>
      <c r="E26">
        <f t="shared" si="1"/>
        <v>0.90335797327780676</v>
      </c>
      <c r="F26">
        <f t="shared" si="1"/>
        <v>0.91578136387298292</v>
      </c>
      <c r="G26">
        <f t="shared" si="1"/>
        <v>0.93175429463820936</v>
      </c>
      <c r="H26">
        <f t="shared" si="1"/>
        <v>0.95127676557348617</v>
      </c>
      <c r="I26">
        <f t="shared" si="1"/>
        <v>0.97434877667881326</v>
      </c>
      <c r="J26">
        <f t="shared" si="1"/>
        <v>1.0009703279541906</v>
      </c>
      <c r="K26">
        <f t="shared" si="1"/>
        <v>1.0311414193996182</v>
      </c>
      <c r="L26">
        <f t="shared" si="1"/>
        <v>1.0648620510150963</v>
      </c>
      <c r="M26" s="6"/>
    </row>
    <row r="27" spans="1:24" x14ac:dyDescent="0.25">
      <c r="A27">
        <v>6000</v>
      </c>
      <c r="B27">
        <f t="shared" si="1"/>
        <v>0.86482734686795071</v>
      </c>
      <c r="C27">
        <f t="shared" si="1"/>
        <v>0.86655700156168658</v>
      </c>
      <c r="D27">
        <f t="shared" si="1"/>
        <v>0.8717459656428943</v>
      </c>
      <c r="E27">
        <f t="shared" si="1"/>
        <v>0.88039423911157388</v>
      </c>
      <c r="F27">
        <f t="shared" si="1"/>
        <v>0.89250182196772521</v>
      </c>
      <c r="G27">
        <f t="shared" si="1"/>
        <v>0.90806871421134827</v>
      </c>
      <c r="H27">
        <f t="shared" si="1"/>
        <v>0.92709491584244319</v>
      </c>
      <c r="I27">
        <f t="shared" si="1"/>
        <v>0.94958042686100996</v>
      </c>
      <c r="J27">
        <f t="shared" si="1"/>
        <v>0.97552524726704848</v>
      </c>
      <c r="K27">
        <f t="shared" si="1"/>
        <v>1.0049293770605587</v>
      </c>
      <c r="L27">
        <f t="shared" si="1"/>
        <v>1.0377928162415408</v>
      </c>
      <c r="M27" s="6"/>
    </row>
    <row r="28" spans="1:24" x14ac:dyDescent="0.25">
      <c r="A28">
        <v>7000</v>
      </c>
      <c r="B28">
        <f t="shared" si="1"/>
        <v>0.8422696512233212</v>
      </c>
      <c r="C28">
        <f t="shared" si="1"/>
        <v>0.84395419052576781</v>
      </c>
      <c r="D28">
        <f t="shared" si="1"/>
        <v>0.84900780843310775</v>
      </c>
      <c r="E28">
        <f t="shared" si="1"/>
        <v>0.85743050494534101</v>
      </c>
      <c r="F28">
        <f t="shared" si="1"/>
        <v>0.86922228006246749</v>
      </c>
      <c r="G28">
        <f t="shared" si="1"/>
        <v>0.8843831337844873</v>
      </c>
      <c r="H28">
        <f t="shared" si="1"/>
        <v>0.90291306611140043</v>
      </c>
      <c r="I28">
        <f t="shared" si="1"/>
        <v>0.92481207704320678</v>
      </c>
      <c r="J28">
        <f t="shared" si="1"/>
        <v>0.95008016657990646</v>
      </c>
      <c r="K28">
        <f t="shared" si="1"/>
        <v>0.97871733472149913</v>
      </c>
      <c r="L28">
        <f t="shared" si="1"/>
        <v>1.0107235814679854</v>
      </c>
      <c r="M28" s="6"/>
    </row>
    <row r="29" spans="1:24" x14ac:dyDescent="0.25">
      <c r="A29">
        <v>8000</v>
      </c>
      <c r="B29">
        <f t="shared" si="1"/>
        <v>0.8197119555786917</v>
      </c>
      <c r="C29">
        <f t="shared" si="1"/>
        <v>0.82135137948984904</v>
      </c>
      <c r="D29">
        <f t="shared" si="1"/>
        <v>0.82626965122332119</v>
      </c>
      <c r="E29">
        <f t="shared" si="1"/>
        <v>0.83446677077910814</v>
      </c>
      <c r="F29">
        <f t="shared" si="1"/>
        <v>0.84594273815720988</v>
      </c>
      <c r="G29">
        <f t="shared" si="1"/>
        <v>0.86069755335762632</v>
      </c>
      <c r="H29">
        <f t="shared" si="1"/>
        <v>0.87873121638035756</v>
      </c>
      <c r="I29">
        <f t="shared" si="1"/>
        <v>0.9000437272254036</v>
      </c>
      <c r="J29">
        <f t="shared" si="1"/>
        <v>0.92463508589276433</v>
      </c>
      <c r="K29">
        <f t="shared" si="1"/>
        <v>0.95250529238243964</v>
      </c>
      <c r="L29">
        <f t="shared" si="1"/>
        <v>0.98365434669442997</v>
      </c>
      <c r="M29" s="6"/>
    </row>
    <row r="30" spans="1:24" x14ac:dyDescent="0.25">
      <c r="A30">
        <v>9000</v>
      </c>
      <c r="B30">
        <f t="shared" si="1"/>
        <v>0.79715425993406219</v>
      </c>
      <c r="C30">
        <f t="shared" si="1"/>
        <v>0.79874856845393027</v>
      </c>
      <c r="D30">
        <f t="shared" si="1"/>
        <v>0.80353149401353474</v>
      </c>
      <c r="E30">
        <f t="shared" si="1"/>
        <v>0.81150303661287537</v>
      </c>
      <c r="F30">
        <f t="shared" si="1"/>
        <v>0.82266319625195217</v>
      </c>
      <c r="G30">
        <f t="shared" si="1"/>
        <v>0.83701197293076535</v>
      </c>
      <c r="H30">
        <f t="shared" si="1"/>
        <v>0.85454936664931469</v>
      </c>
      <c r="I30">
        <f t="shared" si="1"/>
        <v>0.87527537740760031</v>
      </c>
      <c r="J30">
        <f t="shared" si="1"/>
        <v>0.8991900052056222</v>
      </c>
      <c r="K30">
        <f t="shared" si="1"/>
        <v>0.92629325004338026</v>
      </c>
      <c r="L30">
        <f t="shared" si="1"/>
        <v>0.95658511192087459</v>
      </c>
      <c r="M30" s="6"/>
    </row>
    <row r="31" spans="1:24" x14ac:dyDescent="0.25">
      <c r="A31">
        <v>10000</v>
      </c>
      <c r="B31">
        <f t="shared" si="1"/>
        <v>0.7749436057608885</v>
      </c>
      <c r="C31">
        <f t="shared" si="1"/>
        <v>0.77649349297241033</v>
      </c>
      <c r="D31">
        <f t="shared" si="1"/>
        <v>0.78114315460697559</v>
      </c>
      <c r="E31">
        <f t="shared" si="1"/>
        <v>0.7888925906645845</v>
      </c>
      <c r="F31">
        <f t="shared" si="1"/>
        <v>0.79974180114523696</v>
      </c>
      <c r="G31">
        <f t="shared" si="1"/>
        <v>0.81369078604893297</v>
      </c>
      <c r="H31">
        <f t="shared" si="1"/>
        <v>0.83073954537567252</v>
      </c>
      <c r="I31">
        <f t="shared" si="1"/>
        <v>0.85088807912545561</v>
      </c>
      <c r="J31">
        <f t="shared" si="1"/>
        <v>0.87413638729828236</v>
      </c>
      <c r="K31">
        <f t="shared" si="1"/>
        <v>0.90048446989415243</v>
      </c>
      <c r="L31">
        <f>$E12/$E$2*(1+0.4/2*L$20^2)</f>
        <v>0.92993232691306615</v>
      </c>
      <c r="M31" s="6"/>
    </row>
    <row r="34" spans="1:13" x14ac:dyDescent="0.25">
      <c r="A34" t="s">
        <v>45</v>
      </c>
      <c r="B34" s="7" t="s">
        <v>0</v>
      </c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3" x14ac:dyDescent="0.25">
      <c r="B35">
        <v>0</v>
      </c>
      <c r="C35">
        <v>0.1</v>
      </c>
      <c r="D35">
        <v>0.2</v>
      </c>
      <c r="E35">
        <v>0.3</v>
      </c>
      <c r="F35">
        <v>0.4</v>
      </c>
      <c r="G35">
        <v>0.5</v>
      </c>
      <c r="H35">
        <v>0.6</v>
      </c>
      <c r="I35">
        <v>0.7</v>
      </c>
      <c r="J35">
        <v>0.8</v>
      </c>
      <c r="K35">
        <v>0.9</v>
      </c>
      <c r="L35">
        <v>1</v>
      </c>
    </row>
    <row r="36" spans="1:13" x14ac:dyDescent="0.25">
      <c r="A36">
        <v>0</v>
      </c>
      <c r="B36">
        <f>$F2/$F$2*(1+0.4/2*B$35^2)*(1.4/(1.4-1))</f>
        <v>3.5000000000000004</v>
      </c>
      <c r="C36">
        <f t="shared" ref="C36:L36" si="2">$F2/$F$2*(1+0.4/2*C$35^2)*(1.4/(1.4-1))</f>
        <v>3.5070000000000006</v>
      </c>
      <c r="D36">
        <f t="shared" si="2"/>
        <v>3.5280000000000005</v>
      </c>
      <c r="E36">
        <f t="shared" si="2"/>
        <v>3.5630000000000006</v>
      </c>
      <c r="F36">
        <f t="shared" si="2"/>
        <v>3.6120000000000005</v>
      </c>
      <c r="G36">
        <f t="shared" si="2"/>
        <v>3.6750000000000007</v>
      </c>
      <c r="H36">
        <f t="shared" si="2"/>
        <v>3.7520000000000007</v>
      </c>
      <c r="I36">
        <f t="shared" si="2"/>
        <v>3.8430000000000009</v>
      </c>
      <c r="J36">
        <f t="shared" si="2"/>
        <v>3.9480000000000008</v>
      </c>
      <c r="K36">
        <f t="shared" si="2"/>
        <v>4.0670000000000002</v>
      </c>
      <c r="L36">
        <f t="shared" si="2"/>
        <v>4.2</v>
      </c>
      <c r="M36" s="6" t="s">
        <v>41</v>
      </c>
    </row>
    <row r="37" spans="1:13" x14ac:dyDescent="0.25">
      <c r="A37">
        <v>1000</v>
      </c>
      <c r="B37">
        <f>$F3/$F$2*(1+0.4/2*B$35^2)*(1.4/(1.4-1))</f>
        <v>3.1054294175715693</v>
      </c>
      <c r="C37">
        <f t="shared" ref="B37:L46" si="3">$F3/$F$2*(1+0.4/2*C$35^2)*(1.4/(1.4-1))</f>
        <v>3.1116402764067126</v>
      </c>
      <c r="D37">
        <f t="shared" si="3"/>
        <v>3.130272852912142</v>
      </c>
      <c r="E37">
        <f t="shared" si="3"/>
        <v>3.1613271470878574</v>
      </c>
      <c r="F37">
        <f t="shared" si="3"/>
        <v>3.2048031589338599</v>
      </c>
      <c r="G37">
        <f t="shared" si="3"/>
        <v>3.260700888450148</v>
      </c>
      <c r="H37">
        <f t="shared" si="3"/>
        <v>3.3290203356367227</v>
      </c>
      <c r="I37">
        <f t="shared" si="3"/>
        <v>3.4097615004935835</v>
      </c>
      <c r="J37">
        <f t="shared" si="3"/>
        <v>3.5029243830207304</v>
      </c>
      <c r="K37">
        <f t="shared" si="3"/>
        <v>3.6085089832181634</v>
      </c>
      <c r="L37">
        <f t="shared" si="3"/>
        <v>3.7265153010858834</v>
      </c>
      <c r="M37" s="6"/>
    </row>
    <row r="38" spans="1:13" x14ac:dyDescent="0.25">
      <c r="A38">
        <v>2000</v>
      </c>
      <c r="B38">
        <f t="shared" si="3"/>
        <v>2.7467917077986179</v>
      </c>
      <c r="C38">
        <f t="shared" si="3"/>
        <v>2.7522852912142151</v>
      </c>
      <c r="D38">
        <f t="shared" si="3"/>
        <v>2.7687660414610074</v>
      </c>
      <c r="E38">
        <f t="shared" si="3"/>
        <v>2.7962339585389935</v>
      </c>
      <c r="F38">
        <f t="shared" si="3"/>
        <v>2.8346890424481743</v>
      </c>
      <c r="G38">
        <f t="shared" si="3"/>
        <v>2.884131293188549</v>
      </c>
      <c r="H38">
        <f t="shared" si="3"/>
        <v>2.9445607107601188</v>
      </c>
      <c r="I38">
        <f t="shared" si="3"/>
        <v>3.0159772951628829</v>
      </c>
      <c r="J38">
        <f t="shared" si="3"/>
        <v>3.0983810463968413</v>
      </c>
      <c r="K38">
        <f t="shared" si="3"/>
        <v>3.191771964461994</v>
      </c>
      <c r="L38">
        <f t="shared" si="3"/>
        <v>3.2961500493583413</v>
      </c>
      <c r="M38" s="6"/>
    </row>
    <row r="39" spans="1:13" x14ac:dyDescent="0.25">
      <c r="A39">
        <v>3000</v>
      </c>
      <c r="B39">
        <f t="shared" si="3"/>
        <v>2.4227048371174731</v>
      </c>
      <c r="C39">
        <f t="shared" si="3"/>
        <v>2.4275502467917081</v>
      </c>
      <c r="D39">
        <f t="shared" si="3"/>
        <v>2.4420864758144125</v>
      </c>
      <c r="E39">
        <f t="shared" si="3"/>
        <v>2.4663135241855874</v>
      </c>
      <c r="F39">
        <f t="shared" si="3"/>
        <v>2.5002313919052321</v>
      </c>
      <c r="G39">
        <f t="shared" si="3"/>
        <v>2.5438400789733469</v>
      </c>
      <c r="H39">
        <f t="shared" si="3"/>
        <v>2.5971395853899311</v>
      </c>
      <c r="I39">
        <f t="shared" si="3"/>
        <v>2.6601299111549856</v>
      </c>
      <c r="J39">
        <f t="shared" si="3"/>
        <v>2.7328110562685097</v>
      </c>
      <c r="K39">
        <f t="shared" si="3"/>
        <v>2.8151830207305033</v>
      </c>
      <c r="L39">
        <f t="shared" si="3"/>
        <v>2.9072458045409677</v>
      </c>
      <c r="M39" s="6"/>
    </row>
    <row r="40" spans="1:13" x14ac:dyDescent="0.25">
      <c r="A40">
        <v>4000</v>
      </c>
      <c r="B40">
        <f t="shared" si="3"/>
        <v>2.1304047384007898</v>
      </c>
      <c r="C40">
        <f t="shared" si="3"/>
        <v>2.1346655478775913</v>
      </c>
      <c r="D40">
        <f t="shared" si="3"/>
        <v>2.1474479763079963</v>
      </c>
      <c r="E40">
        <f t="shared" si="3"/>
        <v>2.1687520236920039</v>
      </c>
      <c r="F40">
        <f t="shared" si="3"/>
        <v>2.198577690029615</v>
      </c>
      <c r="G40">
        <f t="shared" si="3"/>
        <v>2.2369249753208296</v>
      </c>
      <c r="H40">
        <f t="shared" si="3"/>
        <v>2.2837938795656472</v>
      </c>
      <c r="I40">
        <f t="shared" si="3"/>
        <v>2.3391844027640674</v>
      </c>
      <c r="J40">
        <f t="shared" si="3"/>
        <v>2.403096544916091</v>
      </c>
      <c r="K40">
        <f t="shared" si="3"/>
        <v>2.4755303060217178</v>
      </c>
      <c r="L40">
        <f t="shared" si="3"/>
        <v>2.5564856860809479</v>
      </c>
      <c r="M40" s="6"/>
    </row>
    <row r="41" spans="1:13" x14ac:dyDescent="0.25">
      <c r="A41">
        <v>5000</v>
      </c>
      <c r="B41">
        <f t="shared" si="3"/>
        <v>1.8674728529121425</v>
      </c>
      <c r="C41">
        <f t="shared" si="3"/>
        <v>1.8712077986179667</v>
      </c>
      <c r="D41">
        <f t="shared" si="3"/>
        <v>1.8824126357354396</v>
      </c>
      <c r="E41">
        <f t="shared" si="3"/>
        <v>1.9010873642645612</v>
      </c>
      <c r="F41">
        <f t="shared" si="3"/>
        <v>1.9272319842053312</v>
      </c>
      <c r="G41">
        <f t="shared" si="3"/>
        <v>1.9608464955577498</v>
      </c>
      <c r="H41">
        <f t="shared" si="3"/>
        <v>2.0019308983218167</v>
      </c>
      <c r="I41">
        <f t="shared" si="3"/>
        <v>2.0504851924975327</v>
      </c>
      <c r="J41">
        <f t="shared" si="3"/>
        <v>2.1065093780848971</v>
      </c>
      <c r="K41">
        <f t="shared" si="3"/>
        <v>2.1700034550839091</v>
      </c>
      <c r="L41">
        <f t="shared" si="3"/>
        <v>2.2409674234945709</v>
      </c>
      <c r="M41" s="6"/>
    </row>
    <row r="42" spans="1:13" x14ac:dyDescent="0.25">
      <c r="A42">
        <v>6000</v>
      </c>
      <c r="B42">
        <f t="shared" si="3"/>
        <v>1.631490621915104</v>
      </c>
      <c r="C42">
        <f t="shared" si="3"/>
        <v>1.6347536031589343</v>
      </c>
      <c r="D42">
        <f t="shared" si="3"/>
        <v>1.6445425468904249</v>
      </c>
      <c r="E42">
        <f t="shared" si="3"/>
        <v>1.6608574531095759</v>
      </c>
      <c r="F42">
        <f t="shared" si="3"/>
        <v>1.6836983218163872</v>
      </c>
      <c r="G42">
        <f t="shared" si="3"/>
        <v>1.7130651530108592</v>
      </c>
      <c r="H42">
        <f t="shared" si="3"/>
        <v>1.7489579466929914</v>
      </c>
      <c r="I42">
        <f t="shared" si="3"/>
        <v>1.7913767028627843</v>
      </c>
      <c r="J42">
        <f t="shared" si="3"/>
        <v>1.8403214215202375</v>
      </c>
      <c r="K42">
        <f t="shared" si="3"/>
        <v>1.8957921026653506</v>
      </c>
      <c r="L42">
        <f t="shared" si="3"/>
        <v>1.9577887462981247</v>
      </c>
      <c r="M42" s="6"/>
    </row>
    <row r="43" spans="1:13" x14ac:dyDescent="0.25">
      <c r="A43">
        <v>7000</v>
      </c>
      <c r="B43">
        <f t="shared" si="3"/>
        <v>1.4203849950641658</v>
      </c>
      <c r="C43">
        <f t="shared" si="3"/>
        <v>1.4232257650542941</v>
      </c>
      <c r="D43">
        <f t="shared" si="3"/>
        <v>1.4317480750246792</v>
      </c>
      <c r="E43">
        <f t="shared" si="3"/>
        <v>1.4459519249753208</v>
      </c>
      <c r="F43">
        <f t="shared" si="3"/>
        <v>1.4658373149062192</v>
      </c>
      <c r="G43">
        <f t="shared" si="3"/>
        <v>1.4914042448173741</v>
      </c>
      <c r="H43">
        <f t="shared" si="3"/>
        <v>1.5226527147087858</v>
      </c>
      <c r="I43">
        <f t="shared" si="3"/>
        <v>1.5595827245804541</v>
      </c>
      <c r="J43">
        <f t="shared" si="3"/>
        <v>1.6021942744323792</v>
      </c>
      <c r="K43">
        <f t="shared" si="3"/>
        <v>1.6504873642645606</v>
      </c>
      <c r="L43">
        <f t="shared" si="3"/>
        <v>1.7044619940769989</v>
      </c>
      <c r="M43" s="6"/>
    </row>
    <row r="44" spans="1:13" x14ac:dyDescent="0.25">
      <c r="A44">
        <v>8000</v>
      </c>
      <c r="B44">
        <f t="shared" si="3"/>
        <v>1.2317374136229022</v>
      </c>
      <c r="C44">
        <f t="shared" si="3"/>
        <v>1.2342008884501481</v>
      </c>
      <c r="D44">
        <f t="shared" si="3"/>
        <v>1.2415913129318854</v>
      </c>
      <c r="E44">
        <f t="shared" si="3"/>
        <v>1.2539086870681146</v>
      </c>
      <c r="F44">
        <f t="shared" si="3"/>
        <v>1.2711530108588351</v>
      </c>
      <c r="G44">
        <f t="shared" si="3"/>
        <v>1.2933242843040476</v>
      </c>
      <c r="H44">
        <f t="shared" si="3"/>
        <v>1.3204225074037512</v>
      </c>
      <c r="I44">
        <f t="shared" si="3"/>
        <v>1.3524476801579468</v>
      </c>
      <c r="J44">
        <f t="shared" si="3"/>
        <v>1.3893998025666339</v>
      </c>
      <c r="K44">
        <f t="shared" si="3"/>
        <v>1.4312788746298122</v>
      </c>
      <c r="L44">
        <f t="shared" si="3"/>
        <v>1.4780848963474826</v>
      </c>
      <c r="M44" s="6"/>
    </row>
    <row r="45" spans="1:13" x14ac:dyDescent="0.25">
      <c r="A45">
        <v>9000</v>
      </c>
      <c r="B45">
        <f t="shared" si="3"/>
        <v>1.0641658440276407</v>
      </c>
      <c r="C45">
        <f t="shared" si="3"/>
        <v>1.0662941757156961</v>
      </c>
      <c r="D45">
        <f t="shared" si="3"/>
        <v>1.072679170779862</v>
      </c>
      <c r="E45">
        <f t="shared" si="3"/>
        <v>1.0833208292201384</v>
      </c>
      <c r="F45">
        <f t="shared" si="3"/>
        <v>1.0982191510365253</v>
      </c>
      <c r="G45">
        <f t="shared" si="3"/>
        <v>1.1173741362290228</v>
      </c>
      <c r="H45">
        <f t="shared" si="3"/>
        <v>1.140785784797631</v>
      </c>
      <c r="I45">
        <f t="shared" si="3"/>
        <v>1.1684540967423496</v>
      </c>
      <c r="J45">
        <f t="shared" si="3"/>
        <v>1.2003790720631788</v>
      </c>
      <c r="K45">
        <f t="shared" si="3"/>
        <v>1.2365607107601184</v>
      </c>
      <c r="L45">
        <f t="shared" si="3"/>
        <v>1.2769990128331687</v>
      </c>
      <c r="M45" s="6"/>
    </row>
    <row r="46" spans="1:13" x14ac:dyDescent="0.25">
      <c r="A46">
        <v>10000</v>
      </c>
      <c r="B46">
        <f t="shared" si="3"/>
        <v>0.91559723593287279</v>
      </c>
      <c r="C46">
        <f t="shared" si="3"/>
        <v>0.91742843040473843</v>
      </c>
      <c r="D46">
        <f t="shared" si="3"/>
        <v>0.92292201382033578</v>
      </c>
      <c r="E46">
        <f t="shared" si="3"/>
        <v>0.93207798617966442</v>
      </c>
      <c r="F46">
        <f t="shared" si="3"/>
        <v>0.94489634748272466</v>
      </c>
      <c r="G46">
        <f t="shared" si="3"/>
        <v>0.96137709772951652</v>
      </c>
      <c r="H46">
        <f t="shared" si="3"/>
        <v>0.98152023692003965</v>
      </c>
      <c r="I46">
        <f t="shared" si="3"/>
        <v>1.0053257650542944</v>
      </c>
      <c r="J46">
        <f t="shared" si="3"/>
        <v>1.0327936821322807</v>
      </c>
      <c r="K46">
        <f t="shared" si="3"/>
        <v>1.0639239881539981</v>
      </c>
      <c r="L46">
        <f>$F12/$F$2*(1+0.4/2*L$35^2)*(1.4/(1.4-1))</f>
        <v>1.0987166831194473</v>
      </c>
      <c r="M46" s="6"/>
    </row>
    <row r="49" spans="1:13" x14ac:dyDescent="0.25">
      <c r="A49">
        <v>0.5</v>
      </c>
      <c r="B49" s="5" t="s">
        <v>0</v>
      </c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3" x14ac:dyDescent="0.25">
      <c r="B50">
        <v>0</v>
      </c>
      <c r="C50">
        <v>0.1</v>
      </c>
      <c r="D50">
        <v>0.2</v>
      </c>
      <c r="E50">
        <v>0.3</v>
      </c>
      <c r="F50">
        <v>0.4</v>
      </c>
      <c r="G50">
        <v>0.5</v>
      </c>
      <c r="H50">
        <v>0.6</v>
      </c>
      <c r="I50">
        <v>0.7</v>
      </c>
      <c r="J50">
        <v>0.8</v>
      </c>
      <c r="K50">
        <v>0.9</v>
      </c>
      <c r="L50">
        <v>1</v>
      </c>
    </row>
    <row r="51" spans="1:13" x14ac:dyDescent="0.25">
      <c r="A51">
        <v>0</v>
      </c>
      <c r="B51">
        <f>IF($A$49&gt;=B21,B36*(1-0.49*SQRT(B$50)),B36*(1-0.49*SQRT(B$50)-3*(B21-$A$49)/(1.5+B$50)))</f>
        <v>0</v>
      </c>
      <c r="C51">
        <f t="shared" ref="C51:L51" si="4">IF($A$49&gt;=C21,C36*(1-0.49*SQRT(C$50)),C36*(1-0.49*SQRT(C$50)-3*(C21-$A$49)/(1.5+C$50)))</f>
        <v>-0.33737902995631458</v>
      </c>
      <c r="D51">
        <f t="shared" si="4"/>
        <v>-0.40785532210680514</v>
      </c>
      <c r="E51">
        <f t="shared" si="4"/>
        <v>-0.46930904813821112</v>
      </c>
      <c r="F51">
        <f t="shared" si="4"/>
        <v>-0.54145039703576259</v>
      </c>
      <c r="G51">
        <f t="shared" si="4"/>
        <v>-0.63019753622167562</v>
      </c>
      <c r="H51">
        <f t="shared" si="4"/>
        <v>-0.73800048446708244</v>
      </c>
      <c r="I51">
        <f t="shared" si="4"/>
        <v>-0.8662812143473404</v>
      </c>
      <c r="J51">
        <f t="shared" si="4"/>
        <v>-1.0162142460548973</v>
      </c>
      <c r="K51">
        <f t="shared" si="4"/>
        <v>-1.1890070368540051</v>
      </c>
      <c r="L51">
        <f t="shared" si="4"/>
        <v>-1.3859999999999995</v>
      </c>
      <c r="M51" s="6" t="s">
        <v>41</v>
      </c>
    </row>
    <row r="52" spans="1:13" x14ac:dyDescent="0.25">
      <c r="A52">
        <v>1000</v>
      </c>
      <c r="B52">
        <f t="shared" ref="B52:L61" si="5">IF($A$49&gt;=B22,B37*(1-0.49*SQRT(B$50)),B37*(1-0.49*SQRT(B$50)-3*(B22-$A$49)/(1.5+B$50)))</f>
        <v>0.13902495050034053</v>
      </c>
      <c r="C52">
        <f t="shared" si="5"/>
        <v>-0.16848703385459021</v>
      </c>
      <c r="D52">
        <f t="shared" si="5"/>
        <v>-0.23723634584872852</v>
      </c>
      <c r="E52">
        <f t="shared" si="5"/>
        <v>-0.29633933905166521</v>
      </c>
      <c r="F52">
        <f t="shared" si="5"/>
        <v>-0.36351693405736385</v>
      </c>
      <c r="G52">
        <f t="shared" si="5"/>
        <v>-0.4441963063018643</v>
      </c>
      <c r="H52">
        <f t="shared" si="5"/>
        <v>-0.54068436938762576</v>
      </c>
      <c r="I52">
        <f t="shared" si="5"/>
        <v>-0.65434258779372223</v>
      </c>
      <c r="J52">
        <f t="shared" si="5"/>
        <v>-0.78628680981902532</v>
      </c>
      <c r="K52">
        <f t="shared" si="5"/>
        <v>-0.93764147669496689</v>
      </c>
      <c r="L52">
        <f t="shared" si="5"/>
        <v>-1.1096324921260476</v>
      </c>
      <c r="M52" s="6"/>
    </row>
    <row r="53" spans="1:13" x14ac:dyDescent="0.25">
      <c r="A53">
        <v>2000</v>
      </c>
      <c r="B53">
        <f t="shared" si="5"/>
        <v>0.24689191473879654</v>
      </c>
      <c r="C53">
        <f t="shared" si="5"/>
        <v>-3.238632279861231E-2</v>
      </c>
      <c r="D53">
        <f t="shared" si="5"/>
        <v>-9.8738608330348018E-2</v>
      </c>
      <c r="E53">
        <f t="shared" si="5"/>
        <v>-0.15509594855021194</v>
      </c>
      <c r="F53">
        <f t="shared" si="5"/>
        <v>-0.21734018778698361</v>
      </c>
      <c r="G53">
        <f t="shared" si="5"/>
        <v>-0.2904287813628767</v>
      </c>
      <c r="H53">
        <f t="shared" si="5"/>
        <v>-0.37652086163359166</v>
      </c>
      <c r="I53">
        <f t="shared" si="5"/>
        <v>-0.47690961736912124</v>
      </c>
      <c r="J53">
        <f t="shared" si="5"/>
        <v>-0.59264775744324916</v>
      </c>
      <c r="K53">
        <f t="shared" si="5"/>
        <v>-0.72477720144922486</v>
      </c>
      <c r="L53">
        <f t="shared" si="5"/>
        <v>-0.87441490195393234</v>
      </c>
      <c r="M53" s="6"/>
    </row>
    <row r="54" spans="1:13" x14ac:dyDescent="0.25">
      <c r="A54">
        <v>3000</v>
      </c>
      <c r="B54">
        <f t="shared" si="5"/>
        <v>0.32706305106323014</v>
      </c>
      <c r="C54">
        <f t="shared" si="5"/>
        <v>7.4315092494802518E-2</v>
      </c>
      <c r="D54">
        <f t="shared" si="5"/>
        <v>1.0902857587492274E-2</v>
      </c>
      <c r="E54">
        <f t="shared" si="5"/>
        <v>-4.240363061375093E-2</v>
      </c>
      <c r="F54">
        <f t="shared" si="5"/>
        <v>-9.9795345581646142E-2</v>
      </c>
      <c r="G54">
        <f t="shared" si="5"/>
        <v>-0.16578334517888227</v>
      </c>
      <c r="H54">
        <f t="shared" si="5"/>
        <v>-0.24237665152309207</v>
      </c>
      <c r="I54">
        <f t="shared" si="5"/>
        <v>-0.33079433383682827</v>
      </c>
      <c r="J54">
        <f t="shared" si="5"/>
        <v>-0.43202286654137173</v>
      </c>
      <c r="K54">
        <f t="shared" si="5"/>
        <v>-0.54702298770808744</v>
      </c>
      <c r="L54">
        <f t="shared" si="5"/>
        <v>-0.67680863937988855</v>
      </c>
      <c r="M54" s="6"/>
    </row>
    <row r="55" spans="1:13" x14ac:dyDescent="0.25">
      <c r="A55">
        <v>4000</v>
      </c>
      <c r="B55">
        <f t="shared" si="5"/>
        <v>0.38371683471456164</v>
      </c>
      <c r="C55">
        <f t="shared" si="5"/>
        <v>0.1558166570257844</v>
      </c>
      <c r="D55">
        <f t="shared" si="5"/>
        <v>9.575626501962943E-2</v>
      </c>
      <c r="E55">
        <f t="shared" si="5"/>
        <v>4.5716788964751197E-2</v>
      </c>
      <c r="F55">
        <f t="shared" si="5"/>
        <v>-6.9415087734722184E-3</v>
      </c>
      <c r="G55">
        <f t="shared" si="5"/>
        <v>-6.6307232951156966E-2</v>
      </c>
      <c r="H55">
        <f t="shared" si="5"/>
        <v>-0.1342390318826297</v>
      </c>
      <c r="I55">
        <f t="shared" si="5"/>
        <v>-0.21187788788793305</v>
      </c>
      <c r="J55">
        <f t="shared" si="5"/>
        <v>-0.30014223455858052</v>
      </c>
      <c r="K55">
        <f t="shared" si="5"/>
        <v>-0.3999136111224818</v>
      </c>
      <c r="L55">
        <f t="shared" si="5"/>
        <v>-0.51210893121333156</v>
      </c>
      <c r="M55" s="6"/>
    </row>
    <row r="56" spans="1:13" x14ac:dyDescent="0.25">
      <c r="A56">
        <v>5000</v>
      </c>
      <c r="B56">
        <f t="shared" si="5"/>
        <v>0.42061075187922231</v>
      </c>
      <c r="C56">
        <f t="shared" si="5"/>
        <v>0.21588825332942344</v>
      </c>
      <c r="D56">
        <f t="shared" si="5"/>
        <v>0.15947213687749079</v>
      </c>
      <c r="E56">
        <f t="shared" si="5"/>
        <v>0.11283458820897992</v>
      </c>
      <c r="F56">
        <f t="shared" si="5"/>
        <v>6.4754799975961189E-2</v>
      </c>
      <c r="G56">
        <f>IF($A$49&gt;=G26,G41*(1-0.49*SQRT(G$50)),G41*(1-0.49*SQRT(G$50)-3*(G26-$A$49)/(1.5+G$50)))</f>
        <v>1.154200378410491E-2</v>
      </c>
      <c r="H56">
        <f t="shared" si="5"/>
        <v>-4.8513715559815609E-2</v>
      </c>
      <c r="I56">
        <f t="shared" si="5"/>
        <v>-0.11647300077259587</v>
      </c>
      <c r="J56">
        <f t="shared" si="5"/>
        <v>-0.19318561954658284</v>
      </c>
      <c r="K56">
        <f t="shared" si="5"/>
        <v>-0.27945649588977634</v>
      </c>
      <c r="L56">
        <f t="shared" si="5"/>
        <v>-0.37611156012956004</v>
      </c>
      <c r="M56" s="6"/>
    </row>
    <row r="57" spans="1:13" x14ac:dyDescent="0.25">
      <c r="A57">
        <v>6000</v>
      </c>
      <c r="B57">
        <f t="shared" si="5"/>
        <v>0.44106583184864362</v>
      </c>
      <c r="C57">
        <f t="shared" si="5"/>
        <v>0.25788894725167882</v>
      </c>
      <c r="D57">
        <f t="shared" si="5"/>
        <v>0.2053097006561273</v>
      </c>
      <c r="E57">
        <f t="shared" si="5"/>
        <v>0.16214211951324345</v>
      </c>
      <c r="F57">
        <f t="shared" si="5"/>
        <v>0.11846008137233585</v>
      </c>
      <c r="G57">
        <f t="shared" si="5"/>
        <v>7.094591819565646E-2</v>
      </c>
      <c r="H57">
        <f t="shared" si="5"/>
        <v>1.8035320826008741E-2</v>
      </c>
      <c r="I57">
        <f t="shared" si="5"/>
        <v>-4.1251162499004713E-2</v>
      </c>
      <c r="J57">
        <f t="shared" si="5"/>
        <v>-0.1076949583200577</v>
      </c>
      <c r="K57">
        <f t="shared" si="5"/>
        <v>-0.18202739327217207</v>
      </c>
      <c r="L57">
        <f t="shared" si="5"/>
        <v>-0.26498940756115319</v>
      </c>
      <c r="M57" s="6"/>
    </row>
    <row r="58" spans="1:13" x14ac:dyDescent="0.25">
      <c r="A58">
        <v>7000</v>
      </c>
      <c r="B58">
        <f t="shared" si="5"/>
        <v>0.44807564133726413</v>
      </c>
      <c r="C58">
        <f t="shared" si="5"/>
        <v>0.28483627432113973</v>
      </c>
      <c r="D58">
        <f t="shared" si="5"/>
        <v>0.2361943426649733</v>
      </c>
      <c r="E58">
        <f t="shared" si="5"/>
        <v>0.19650260886622908</v>
      </c>
      <c r="F58">
        <f t="shared" si="5"/>
        <v>0.15701205264174981</v>
      </c>
      <c r="G58">
        <f t="shared" si="5"/>
        <v>0.1147530818234148</v>
      </c>
      <c r="H58">
        <f t="shared" si="5"/>
        <v>6.8302451442622023E-2</v>
      </c>
      <c r="I58">
        <f t="shared" si="5"/>
        <v>1.676144538515708E-2</v>
      </c>
      <c r="J58">
        <f t="shared" si="5"/>
        <v>-4.0584238565279436E-2</v>
      </c>
      <c r="K58">
        <f t="shared" si="5"/>
        <v>-0.1043957758501322</v>
      </c>
      <c r="L58">
        <f t="shared" si="5"/>
        <v>-0.17533510393001334</v>
      </c>
      <c r="M58" s="6"/>
    </row>
    <row r="59" spans="1:13" x14ac:dyDescent="0.25">
      <c r="A59">
        <v>8000</v>
      </c>
      <c r="B59">
        <f t="shared" si="5"/>
        <v>0.4441350590852664</v>
      </c>
      <c r="C59">
        <f t="shared" si="5"/>
        <v>0.29931168307933731</v>
      </c>
      <c r="D59">
        <f t="shared" si="5"/>
        <v>0.25464462407522215</v>
      </c>
      <c r="E59">
        <f t="shared" si="5"/>
        <v>0.21839494229235115</v>
      </c>
      <c r="F59">
        <f t="shared" si="5"/>
        <v>0.18288258014933614</v>
      </c>
      <c r="G59">
        <f t="shared" si="5"/>
        <v>0.14546192459906923</v>
      </c>
      <c r="H59">
        <f t="shared" si="5"/>
        <v>0.10484555753133547</v>
      </c>
      <c r="I59">
        <f t="shared" si="5"/>
        <v>6.0214234865437082E-2</v>
      </c>
      <c r="J59">
        <f t="shared" si="5"/>
        <v>1.0919050244595115E-2</v>
      </c>
      <c r="K59">
        <f t="shared" si="5"/>
        <v>-4.3634585401434008E-2</v>
      </c>
      <c r="L59">
        <f t="shared" si="5"/>
        <v>-0.10403532474499895</v>
      </c>
      <c r="M59" s="6"/>
    </row>
    <row r="60" spans="1:13" x14ac:dyDescent="0.25">
      <c r="A60">
        <v>9000</v>
      </c>
      <c r="B60">
        <f t="shared" si="5"/>
        <v>0.43172301636936022</v>
      </c>
      <c r="C60">
        <f t="shared" si="5"/>
        <v>0.30378169664163235</v>
      </c>
      <c r="D60">
        <f t="shared" si="5"/>
        <v>0.26304402235177243</v>
      </c>
      <c r="E60">
        <f t="shared" si="5"/>
        <v>0.23014524763564123</v>
      </c>
      <c r="F60">
        <f t="shared" si="5"/>
        <v>0.19836977093684038</v>
      </c>
      <c r="G60">
        <f t="shared" si="5"/>
        <v>0.16537105686399214</v>
      </c>
      <c r="H60">
        <f t="shared" si="5"/>
        <v>0.12999087104651338</v>
      </c>
      <c r="I60">
        <f t="shared" si="5"/>
        <v>9.1486959844529106E-2</v>
      </c>
      <c r="J60">
        <f t="shared" si="5"/>
        <v>4.9273233282480539E-2</v>
      </c>
      <c r="K60">
        <f t="shared" si="5"/>
        <v>2.8176536992020472E-3</v>
      </c>
      <c r="L60">
        <f t="shared" si="5"/>
        <v>-4.8400988091818413E-2</v>
      </c>
      <c r="M60" s="6"/>
    </row>
    <row r="61" spans="1:13" x14ac:dyDescent="0.25">
      <c r="A61">
        <v>10000</v>
      </c>
      <c r="B61">
        <f t="shared" si="5"/>
        <v>0.41212202498869882</v>
      </c>
      <c r="C61">
        <f t="shared" si="5"/>
        <v>0.29965331368114473</v>
      </c>
      <c r="D61">
        <f t="shared" si="5"/>
        <v>0.26278391677337176</v>
      </c>
      <c r="E61">
        <f t="shared" si="5"/>
        <v>0.23313907815642823</v>
      </c>
      <c r="F61">
        <f t="shared" si="5"/>
        <v>0.20487267284870364</v>
      </c>
      <c r="G61">
        <f t="shared" si="5"/>
        <v>0.1759142216250239</v>
      </c>
      <c r="H61">
        <f t="shared" si="5"/>
        <v>0.14522825406181444</v>
      </c>
      <c r="I61">
        <f t="shared" si="5"/>
        <v>0.11214694696787038</v>
      </c>
      <c r="J61">
        <f t="shared" si="5"/>
        <v>7.614446271166736E-2</v>
      </c>
      <c r="K61">
        <f t="shared" si="5"/>
        <v>3.6747505350664587E-2</v>
      </c>
      <c r="L61">
        <f t="shared" si="5"/>
        <v>-6.5030758391817827E-3</v>
      </c>
      <c r="M61" s="6"/>
    </row>
    <row r="64" spans="1:13" x14ac:dyDescent="0.25">
      <c r="A64">
        <v>0.6</v>
      </c>
      <c r="B64" s="5" t="s">
        <v>0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3" x14ac:dyDescent="0.25">
      <c r="B65">
        <v>0</v>
      </c>
      <c r="C65">
        <v>0.1</v>
      </c>
      <c r="D65">
        <v>0.2</v>
      </c>
      <c r="E65">
        <v>0.3</v>
      </c>
      <c r="F65">
        <v>0.4</v>
      </c>
      <c r="G65">
        <v>0.5</v>
      </c>
      <c r="H65">
        <v>0.6</v>
      </c>
      <c r="I65">
        <v>0.7</v>
      </c>
      <c r="J65">
        <v>0.8</v>
      </c>
      <c r="K65">
        <v>0.9</v>
      </c>
      <c r="L65">
        <v>1</v>
      </c>
    </row>
    <row r="66" spans="1:13" x14ac:dyDescent="0.25">
      <c r="A66">
        <v>0</v>
      </c>
      <c r="B66">
        <f>IF($A$64&gt;=B21,B36*(1-0.49*SQRT(B$65)),B36*(1-0.49*SQRT(B$65)-3*(B21-$A$64)/(1.5+B$65)))</f>
        <v>0.69999999999999951</v>
      </c>
      <c r="C66">
        <f t="shared" ref="C66:L66" si="6">IF($A$64&gt;=C21,C36*(1-0.49*SQRT(C$65)),C36*(1-0.49*SQRT(C$65)-3*(C21-$A$64)/(1.5+C$65)))</f>
        <v>0.32018347004368553</v>
      </c>
      <c r="D66">
        <f t="shared" si="6"/>
        <v>0.21473291318731233</v>
      </c>
      <c r="E66">
        <f t="shared" si="6"/>
        <v>0.12452428519512218</v>
      </c>
      <c r="F66">
        <f t="shared" si="6"/>
        <v>2.8865392437921453E-2</v>
      </c>
      <c r="G66">
        <f t="shared" si="6"/>
        <v>-7.8947536221675413E-2</v>
      </c>
      <c r="H66">
        <f t="shared" si="6"/>
        <v>-0.20200048446708296</v>
      </c>
      <c r="I66">
        <f t="shared" si="6"/>
        <v>-0.34223575980188575</v>
      </c>
      <c r="J66">
        <f t="shared" si="6"/>
        <v>-0.50125772431576721</v>
      </c>
      <c r="K66">
        <f t="shared" si="6"/>
        <v>-0.68063203685400553</v>
      </c>
      <c r="L66">
        <f t="shared" si="6"/>
        <v>-0.8819999999999999</v>
      </c>
      <c r="M66" s="6" t="s">
        <v>41</v>
      </c>
    </row>
    <row r="67" spans="1:13" x14ac:dyDescent="0.25">
      <c r="A67">
        <v>1000</v>
      </c>
      <c r="B67">
        <f t="shared" ref="B67:L76" si="7">IF($A$64&gt;=B22,B37*(1-0.49*SQRT(B$65)),B37*(1-0.49*SQRT(B$65)-3*(B22-$A$64)/(1.5+B$65)))</f>
        <v>0.76011083401465462</v>
      </c>
      <c r="C67">
        <f t="shared" si="7"/>
        <v>0.41494551797166873</v>
      </c>
      <c r="D67">
        <f t="shared" si="7"/>
        <v>0.31516474584164961</v>
      </c>
      <c r="E67">
        <f t="shared" si="7"/>
        <v>0.23054851879631127</v>
      </c>
      <c r="F67">
        <f t="shared" si="7"/>
        <v>0.14250461735324541</v>
      </c>
      <c r="G67">
        <f t="shared" si="7"/>
        <v>4.4908826965657636E-2</v>
      </c>
      <c r="H67">
        <f t="shared" si="7"/>
        <v>-6.5110035725236645E-2</v>
      </c>
      <c r="I67">
        <f t="shared" si="7"/>
        <v>-0.18937511045368774</v>
      </c>
      <c r="J67">
        <f t="shared" si="7"/>
        <v>-0.32938362942501731</v>
      </c>
      <c r="K67">
        <f t="shared" si="7"/>
        <v>-0.48657785379269686</v>
      </c>
      <c r="L67">
        <f t="shared" si="7"/>
        <v>-0.66245065599574116</v>
      </c>
      <c r="M67" s="6"/>
    </row>
    <row r="68" spans="1:13" x14ac:dyDescent="0.25">
      <c r="A68">
        <v>2000</v>
      </c>
      <c r="B68">
        <f t="shared" si="7"/>
        <v>0.79625025629851975</v>
      </c>
      <c r="C68">
        <f t="shared" si="7"/>
        <v>0.48366716930405301</v>
      </c>
      <c r="D68">
        <f t="shared" si="7"/>
        <v>0.38986716369218277</v>
      </c>
      <c r="E68">
        <f t="shared" si="7"/>
        <v>0.31094304453962018</v>
      </c>
      <c r="F68">
        <f t="shared" si="7"/>
        <v>0.23024229259957035</v>
      </c>
      <c r="G68">
        <f t="shared" si="7"/>
        <v>0.14219091261540542</v>
      </c>
      <c r="H68">
        <f t="shared" si="7"/>
        <v>4.4130668474996568E-2</v>
      </c>
      <c r="I68">
        <f t="shared" si="7"/>
        <v>-6.5639986210546689E-2</v>
      </c>
      <c r="J68">
        <f t="shared" si="7"/>
        <v>-0.18851109921757453</v>
      </c>
      <c r="K68">
        <f t="shared" si="7"/>
        <v>-0.32580570589147556</v>
      </c>
      <c r="L68">
        <f t="shared" si="7"/>
        <v>-0.47887689603093175</v>
      </c>
      <c r="M68" s="6"/>
    </row>
    <row r="69" spans="1:13" x14ac:dyDescent="0.25">
      <c r="A69">
        <v>3000</v>
      </c>
      <c r="B69">
        <f t="shared" si="7"/>
        <v>0.81160401848672437</v>
      </c>
      <c r="C69">
        <f t="shared" si="7"/>
        <v>0.52948076376824782</v>
      </c>
      <c r="D69">
        <f t="shared" si="7"/>
        <v>0.44185929449591782</v>
      </c>
      <c r="E69">
        <f t="shared" si="7"/>
        <v>0.36864862341718019</v>
      </c>
      <c r="F69">
        <f t="shared" si="7"/>
        <v>0.29497803208760115</v>
      </c>
      <c r="G69">
        <f t="shared" si="7"/>
        <v>0.2157926666671198</v>
      </c>
      <c r="H69">
        <f t="shared" si="7"/>
        <v>0.12864328924689819</v>
      </c>
      <c r="I69">
        <f t="shared" si="7"/>
        <v>3.1950654047942458E-2</v>
      </c>
      <c r="J69">
        <f t="shared" si="7"/>
        <v>-7.5569250506348662E-2</v>
      </c>
      <c r="K69">
        <f t="shared" si="7"/>
        <v>-0.19512511011677452</v>
      </c>
      <c r="L69">
        <f t="shared" si="7"/>
        <v>-0.32793914283497211</v>
      </c>
      <c r="M69" s="6"/>
    </row>
    <row r="70" spans="1:13" x14ac:dyDescent="0.25">
      <c r="A70">
        <v>4000</v>
      </c>
      <c r="B70">
        <f t="shared" si="7"/>
        <v>0.80979778239471956</v>
      </c>
      <c r="C70">
        <f t="shared" si="7"/>
        <v>0.5560664472528325</v>
      </c>
      <c r="D70">
        <f t="shared" si="7"/>
        <v>0.47471767260339331</v>
      </c>
      <c r="E70">
        <f t="shared" si="7"/>
        <v>0.40717545958008511</v>
      </c>
      <c r="F70">
        <f t="shared" si="7"/>
        <v>0.34020233702067765</v>
      </c>
      <c r="G70">
        <f t="shared" si="7"/>
        <v>0.26923151334696727</v>
      </c>
      <c r="H70">
        <f t="shared" si="7"/>
        <v>0.1920172366267483</v>
      </c>
      <c r="I70">
        <f t="shared" si="7"/>
        <v>0.10710180339807612</v>
      </c>
      <c r="J70">
        <f t="shared" si="7"/>
        <v>1.3305140865257232E-2</v>
      </c>
      <c r="K70">
        <f t="shared" si="7"/>
        <v>-9.0472322869767086E-2</v>
      </c>
      <c r="L70">
        <f t="shared" si="7"/>
        <v>-0.20533064888361779</v>
      </c>
      <c r="M70" s="6"/>
    </row>
    <row r="71" spans="1:13" x14ac:dyDescent="0.25">
      <c r="A71">
        <v>5000</v>
      </c>
      <c r="B71">
        <f t="shared" si="7"/>
        <v>0.79410532246165089</v>
      </c>
      <c r="C71">
        <f t="shared" si="7"/>
        <v>0.56673971557029224</v>
      </c>
      <c r="D71">
        <f t="shared" si="7"/>
        <v>0.4916626020072743</v>
      </c>
      <c r="E71">
        <f t="shared" si="7"/>
        <v>0.42968248225307337</v>
      </c>
      <c r="F71">
        <f t="shared" si="7"/>
        <v>0.36905458695575039</v>
      </c>
      <c r="G71">
        <f t="shared" si="7"/>
        <v>0.30566897811776733</v>
      </c>
      <c r="H71">
        <f t="shared" si="7"/>
        <v>0.23747641277187259</v>
      </c>
      <c r="I71">
        <f t="shared" si="7"/>
        <v>0.16313861638615834</v>
      </c>
      <c r="J71">
        <f t="shared" si="7"/>
        <v>8.1576473247099213E-2</v>
      </c>
      <c r="K71">
        <f t="shared" si="7"/>
        <v>-8.2060640042876717E-3</v>
      </c>
      <c r="L71">
        <f t="shared" si="7"/>
        <v>-0.10719546931021157</v>
      </c>
      <c r="M71" s="6"/>
    </row>
    <row r="72" spans="1:13" x14ac:dyDescent="0.25">
      <c r="A72">
        <v>6000</v>
      </c>
      <c r="B72">
        <f t="shared" si="7"/>
        <v>0.7673639562316642</v>
      </c>
      <c r="C72">
        <f t="shared" si="7"/>
        <v>0.56440524784397894</v>
      </c>
      <c r="D72">
        <f t="shared" si="7"/>
        <v>0.4955230912838493</v>
      </c>
      <c r="E72">
        <f t="shared" si="7"/>
        <v>0.43895169503150594</v>
      </c>
      <c r="F72">
        <f t="shared" si="7"/>
        <v>0.38430718481702847</v>
      </c>
      <c r="G72">
        <f t="shared" si="7"/>
        <v>0.32790569114728518</v>
      </c>
      <c r="H72">
        <f t="shared" si="7"/>
        <v>0.26788645606786465</v>
      </c>
      <c r="I72">
        <f t="shared" si="7"/>
        <v>0.20302747880046584</v>
      </c>
      <c r="J72">
        <f t="shared" si="7"/>
        <v>0.13234696622606026</v>
      </c>
      <c r="K72">
        <f t="shared" si="7"/>
        <v>5.4946619560996751E-2</v>
      </c>
      <c r="L72">
        <f t="shared" si="7"/>
        <v>-3.0054758005378206E-2</v>
      </c>
      <c r="M72" s="6"/>
    </row>
    <row r="73" spans="1:13" x14ac:dyDescent="0.25">
      <c r="A73">
        <v>7000</v>
      </c>
      <c r="B73">
        <f t="shared" si="7"/>
        <v>0.73215264035009719</v>
      </c>
      <c r="C73">
        <f t="shared" si="7"/>
        <v>0.55169110526881981</v>
      </c>
      <c r="D73">
        <f t="shared" si="7"/>
        <v>0.48885576766932831</v>
      </c>
      <c r="E73">
        <f t="shared" si="7"/>
        <v>0.43749459636211585</v>
      </c>
      <c r="F73">
        <f t="shared" si="7"/>
        <v>0.38846004973220538</v>
      </c>
      <c r="G73">
        <f t="shared" si="7"/>
        <v>0.33846371854602098</v>
      </c>
      <c r="H73">
        <f t="shared" si="7"/>
        <v>0.28582426782959142</v>
      </c>
      <c r="I73">
        <f t="shared" si="7"/>
        <v>0.22943181691885536</v>
      </c>
      <c r="J73">
        <f t="shared" si="7"/>
        <v>0.16839762331720468</v>
      </c>
      <c r="K73">
        <f t="shared" si="7"/>
        <v>0.10191514468293796</v>
      </c>
      <c r="L73">
        <f t="shared" si="7"/>
        <v>2.9200335359226538E-2</v>
      </c>
      <c r="M73" s="6"/>
    </row>
    <row r="74" spans="1:13" x14ac:dyDescent="0.25">
      <c r="A74">
        <v>8000</v>
      </c>
      <c r="B74">
        <f t="shared" si="7"/>
        <v>0.69048254180984681</v>
      </c>
      <c r="C74">
        <f t="shared" si="7"/>
        <v>0.53072434966374005</v>
      </c>
      <c r="D74">
        <f t="shared" si="7"/>
        <v>0.47374897341614308</v>
      </c>
      <c r="E74">
        <f t="shared" si="7"/>
        <v>0.42737972347037034</v>
      </c>
      <c r="F74">
        <f t="shared" si="7"/>
        <v>0.38359095028494161</v>
      </c>
      <c r="G74">
        <f t="shared" si="7"/>
        <v>0.33946056724467627</v>
      </c>
      <c r="H74">
        <f t="shared" si="7"/>
        <v>0.29347734430329986</v>
      </c>
      <c r="I74">
        <f t="shared" si="7"/>
        <v>0.24463891852333891</v>
      </c>
      <c r="J74">
        <f t="shared" si="7"/>
        <v>0.19214511144893862</v>
      </c>
      <c r="K74">
        <f t="shared" si="7"/>
        <v>0.13527527392729261</v>
      </c>
      <c r="L74">
        <f t="shared" si="7"/>
        <v>7.3334862816698876E-2</v>
      </c>
      <c r="M74" s="6"/>
    </row>
    <row r="75" spans="1:13" x14ac:dyDescent="0.25">
      <c r="A75">
        <v>9000</v>
      </c>
      <c r="B75">
        <f t="shared" si="7"/>
        <v>0.64455618517488833</v>
      </c>
      <c r="C75">
        <f t="shared" si="7"/>
        <v>0.50371185458832524</v>
      </c>
      <c r="D75">
        <f t="shared" si="7"/>
        <v>0.4523403466070422</v>
      </c>
      <c r="E75">
        <f t="shared" si="7"/>
        <v>0.41069871917233086</v>
      </c>
      <c r="F75">
        <f t="shared" si="7"/>
        <v>0.37177279478471276</v>
      </c>
      <c r="G75">
        <f t="shared" si="7"/>
        <v>0.33297717729834558</v>
      </c>
      <c r="H75">
        <f t="shared" si="7"/>
        <v>0.29296026887474641</v>
      </c>
      <c r="I75">
        <f t="shared" si="7"/>
        <v>0.25082160940030401</v>
      </c>
      <c r="J75">
        <f t="shared" si="7"/>
        <v>0.20584441659506911</v>
      </c>
      <c r="K75">
        <f t="shared" si="7"/>
        <v>0.15738774254421686</v>
      </c>
      <c r="L75">
        <f t="shared" si="7"/>
        <v>0.1048388934481619</v>
      </c>
      <c r="M75" s="6"/>
    </row>
    <row r="76" spans="1:13" x14ac:dyDescent="0.25">
      <c r="A76">
        <v>10000</v>
      </c>
      <c r="B76">
        <f t="shared" si="7"/>
        <v>0.59524147217527335</v>
      </c>
      <c r="C76">
        <f t="shared" si="7"/>
        <v>0.47167114438203323</v>
      </c>
      <c r="D76">
        <f t="shared" si="7"/>
        <v>0.42565250744754868</v>
      </c>
      <c r="E76">
        <f t="shared" si="7"/>
        <v>0.3884854091863722</v>
      </c>
      <c r="F76">
        <f t="shared" si="7"/>
        <v>0.35406683297755492</v>
      </c>
      <c r="G76">
        <f t="shared" si="7"/>
        <v>0.32012078628445134</v>
      </c>
      <c r="H76">
        <f t="shared" si="7"/>
        <v>0.28544543076467721</v>
      </c>
      <c r="I76">
        <f t="shared" si="7"/>
        <v>0.24923682402072864</v>
      </c>
      <c r="J76">
        <f t="shared" si="7"/>
        <v>0.21085668212022568</v>
      </c>
      <c r="K76">
        <f t="shared" si="7"/>
        <v>0.16973800386991436</v>
      </c>
      <c r="L76">
        <f t="shared" si="7"/>
        <v>0.12534292613515188</v>
      </c>
      <c r="M76" s="6"/>
    </row>
    <row r="79" spans="1:13" x14ac:dyDescent="0.25">
      <c r="A79">
        <v>0.7</v>
      </c>
      <c r="B79" s="5" t="s">
        <v>0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3" x14ac:dyDescent="0.25">
      <c r="B80">
        <v>0</v>
      </c>
      <c r="C80">
        <v>0.1</v>
      </c>
      <c r="D80">
        <v>0.2</v>
      </c>
      <c r="E80">
        <v>0.3</v>
      </c>
      <c r="F80">
        <v>0.4</v>
      </c>
      <c r="G80">
        <v>0.5</v>
      </c>
      <c r="H80">
        <v>0.6</v>
      </c>
      <c r="I80">
        <v>0.7</v>
      </c>
      <c r="J80">
        <v>0.8</v>
      </c>
      <c r="K80">
        <v>0.9</v>
      </c>
      <c r="L80">
        <v>1</v>
      </c>
    </row>
    <row r="81" spans="1:13" x14ac:dyDescent="0.25">
      <c r="A81">
        <v>0</v>
      </c>
      <c r="B81">
        <f>IF($A$79&gt;=B21,B36*(1-0.49*SQRT(B$80)),B36*(1-0.49*SQRT(B$80)-3*(B21-$A$79)/(1.5+B$80)))</f>
        <v>1.4</v>
      </c>
      <c r="C81">
        <f t="shared" ref="C81:L81" si="8">IF($A$79&gt;=C21,C36*(1-0.49*SQRT(C$80)),C36*(1-0.49*SQRT(C$80)-3*(C21-$A$79)/(1.5+C$80)))</f>
        <v>0.97774597004368524</v>
      </c>
      <c r="D81">
        <f t="shared" si="8"/>
        <v>0.8373211484814298</v>
      </c>
      <c r="E81">
        <f t="shared" si="8"/>
        <v>0.71835761852845514</v>
      </c>
      <c r="F81">
        <f t="shared" si="8"/>
        <v>0.59918118191160596</v>
      </c>
      <c r="G81">
        <f t="shared" si="8"/>
        <v>0.47230246377832436</v>
      </c>
      <c r="H81">
        <f t="shared" si="8"/>
        <v>0.33399951553291729</v>
      </c>
      <c r="I81">
        <f t="shared" si="8"/>
        <v>0.18180969474356884</v>
      </c>
      <c r="J81">
        <f t="shared" si="8"/>
        <v>1.3698797423363872E-2</v>
      </c>
      <c r="K81">
        <f t="shared" si="8"/>
        <v>-0.17225703685400548</v>
      </c>
      <c r="L81">
        <f t="shared" si="8"/>
        <v>-0.37799999999999989</v>
      </c>
      <c r="M81" s="6" t="s">
        <v>41</v>
      </c>
    </row>
    <row r="82" spans="1:13" x14ac:dyDescent="0.25">
      <c r="A82">
        <v>1000</v>
      </c>
      <c r="B82">
        <f t="shared" ref="B82:L91" si="9">IF($A$79&gt;=B22,B37*(1-0.49*SQRT(B$80)),B37*(1-0.49*SQRT(B$80)-3*(B22-$A$79)/(1.5+B$80)))</f>
        <v>1.3811967175289679</v>
      </c>
      <c r="C82">
        <f t="shared" si="9"/>
        <v>0.99837806979792698</v>
      </c>
      <c r="D82">
        <f t="shared" si="9"/>
        <v>0.86756583753202698</v>
      </c>
      <c r="E82">
        <f t="shared" si="9"/>
        <v>0.75743637664428709</v>
      </c>
      <c r="F82">
        <f t="shared" si="9"/>
        <v>0.64852616876385483</v>
      </c>
      <c r="G82">
        <f t="shared" si="9"/>
        <v>0.53401396023317993</v>
      </c>
      <c r="H82">
        <f t="shared" si="9"/>
        <v>0.41046429793715189</v>
      </c>
      <c r="I82">
        <f t="shared" si="9"/>
        <v>0.27559236688634597</v>
      </c>
      <c r="J82">
        <f t="shared" si="9"/>
        <v>0.12751955096899109</v>
      </c>
      <c r="K82">
        <f t="shared" si="9"/>
        <v>-3.5514230890426428E-2</v>
      </c>
      <c r="L82">
        <f t="shared" si="9"/>
        <v>-0.21526881986543517</v>
      </c>
      <c r="M82" s="6"/>
    </row>
    <row r="83" spans="1:13" x14ac:dyDescent="0.25">
      <c r="A83">
        <v>2000</v>
      </c>
      <c r="B83">
        <f t="shared" si="9"/>
        <v>1.3456085978582435</v>
      </c>
      <c r="C83">
        <f t="shared" si="9"/>
        <v>0.99972066140671823</v>
      </c>
      <c r="D83">
        <f t="shared" si="9"/>
        <v>0.8784729357147133</v>
      </c>
      <c r="E83">
        <f t="shared" si="9"/>
        <v>0.77698203762945217</v>
      </c>
      <c r="F83">
        <f t="shared" si="9"/>
        <v>0.67782477298612398</v>
      </c>
      <c r="G83">
        <f t="shared" si="9"/>
        <v>0.57481060659368788</v>
      </c>
      <c r="H83">
        <f t="shared" si="9"/>
        <v>0.46478219858358494</v>
      </c>
      <c r="I83">
        <f t="shared" si="9"/>
        <v>0.34562964494802839</v>
      </c>
      <c r="J83">
        <f t="shared" si="9"/>
        <v>0.21562555900810051</v>
      </c>
      <c r="K83">
        <f t="shared" si="9"/>
        <v>7.3165789666273684E-2</v>
      </c>
      <c r="L83">
        <f t="shared" si="9"/>
        <v>-8.3338890107930802E-2</v>
      </c>
      <c r="M83" s="6"/>
    </row>
    <row r="84" spans="1:13" x14ac:dyDescent="0.25">
      <c r="A84">
        <v>3000</v>
      </c>
      <c r="B84">
        <f t="shared" si="9"/>
        <v>1.296144985910219</v>
      </c>
      <c r="C84">
        <f t="shared" si="9"/>
        <v>0.9846464350416928</v>
      </c>
      <c r="D84">
        <f t="shared" si="9"/>
        <v>0.87281573140434354</v>
      </c>
      <c r="E84">
        <f t="shared" si="9"/>
        <v>0.77970087744811145</v>
      </c>
      <c r="F84">
        <f t="shared" si="9"/>
        <v>0.68975140975684801</v>
      </c>
      <c r="G84">
        <f t="shared" si="9"/>
        <v>0.59736867851312159</v>
      </c>
      <c r="H84">
        <f t="shared" si="9"/>
        <v>0.49966323001688817</v>
      </c>
      <c r="I84">
        <f t="shared" si="9"/>
        <v>0.39469564193271306</v>
      </c>
      <c r="J84">
        <f t="shared" si="9"/>
        <v>0.28088436552867413</v>
      </c>
      <c r="K84">
        <f t="shared" si="9"/>
        <v>0.15677276747453839</v>
      </c>
      <c r="L84">
        <f t="shared" si="9"/>
        <v>2.0930353709943682E-2</v>
      </c>
      <c r="M84" s="6"/>
    </row>
    <row r="85" spans="1:13" x14ac:dyDescent="0.25">
      <c r="A85">
        <v>4000</v>
      </c>
      <c r="B85">
        <f t="shared" si="9"/>
        <v>1.2358787300748775</v>
      </c>
      <c r="C85">
        <f t="shared" si="9"/>
        <v>0.95631623747988093</v>
      </c>
      <c r="D85">
        <f t="shared" si="9"/>
        <v>0.85367908018715732</v>
      </c>
      <c r="E85">
        <f t="shared" si="9"/>
        <v>0.76863413019541904</v>
      </c>
      <c r="F85">
        <f t="shared" si="9"/>
        <v>0.68734618281482729</v>
      </c>
      <c r="G85">
        <f t="shared" si="9"/>
        <v>0.60477025964509179</v>
      </c>
      <c r="H85">
        <f t="shared" si="9"/>
        <v>0.51827350513612636</v>
      </c>
      <c r="I85">
        <f t="shared" si="9"/>
        <v>0.42608149468408529</v>
      </c>
      <c r="J85">
        <f t="shared" si="9"/>
        <v>0.32675251628909524</v>
      </c>
      <c r="K85">
        <f t="shared" si="9"/>
        <v>0.21896896538294763</v>
      </c>
      <c r="L85">
        <f t="shared" si="9"/>
        <v>0.10144763344609567</v>
      </c>
      <c r="M85" s="6"/>
    </row>
    <row r="86" spans="1:13" x14ac:dyDescent="0.25">
      <c r="A86">
        <v>5000</v>
      </c>
      <c r="B86">
        <f t="shared" si="9"/>
        <v>1.1675998930440794</v>
      </c>
      <c r="C86">
        <f t="shared" si="9"/>
        <v>0.91759117781116084</v>
      </c>
      <c r="D86">
        <f t="shared" si="9"/>
        <v>0.82385306713705764</v>
      </c>
      <c r="E86">
        <f t="shared" si="9"/>
        <v>0.74653037629716668</v>
      </c>
      <c r="F86">
        <f t="shared" si="9"/>
        <v>0.67335437393553954</v>
      </c>
      <c r="G86">
        <f t="shared" si="9"/>
        <v>0.59979595245142969</v>
      </c>
      <c r="H86">
        <f t="shared" si="9"/>
        <v>0.5234665411035605</v>
      </c>
      <c r="I86">
        <f t="shared" si="9"/>
        <v>0.44275023354491289</v>
      </c>
      <c r="J86">
        <f t="shared" si="9"/>
        <v>0.35633856604078151</v>
      </c>
      <c r="K86">
        <f t="shared" si="9"/>
        <v>0.26304436788120095</v>
      </c>
      <c r="L86">
        <f t="shared" si="9"/>
        <v>0.16172062150913694</v>
      </c>
      <c r="M86" s="6"/>
    </row>
    <row r="87" spans="1:13" x14ac:dyDescent="0.25">
      <c r="A87">
        <v>6000</v>
      </c>
      <c r="B87">
        <f t="shared" si="9"/>
        <v>1.0936620806146848</v>
      </c>
      <c r="C87">
        <f t="shared" si="9"/>
        <v>0.870921548436279</v>
      </c>
      <c r="D87">
        <f t="shared" si="9"/>
        <v>0.78573648191157119</v>
      </c>
      <c r="E87">
        <f t="shared" si="9"/>
        <v>0.71576127054976857</v>
      </c>
      <c r="F87">
        <f t="shared" si="9"/>
        <v>0.65015428826172117</v>
      </c>
      <c r="G87">
        <f t="shared" si="9"/>
        <v>0.58486546409891405</v>
      </c>
      <c r="H87">
        <f t="shared" si="9"/>
        <v>0.51773759130972041</v>
      </c>
      <c r="I87">
        <f t="shared" si="9"/>
        <v>0.4473061200999362</v>
      </c>
      <c r="J87">
        <f t="shared" si="9"/>
        <v>0.37238889077217813</v>
      </c>
      <c r="K87">
        <f t="shared" si="9"/>
        <v>0.2919206323941656</v>
      </c>
      <c r="L87">
        <f t="shared" si="9"/>
        <v>0.20487989155039665</v>
      </c>
      <c r="M87" s="6"/>
    </row>
    <row r="88" spans="1:13" x14ac:dyDescent="0.25">
      <c r="A88">
        <v>7000</v>
      </c>
      <c r="B88">
        <f t="shared" si="9"/>
        <v>1.0162296393629304</v>
      </c>
      <c r="C88">
        <f t="shared" si="9"/>
        <v>0.81854593621649985</v>
      </c>
      <c r="D88">
        <f t="shared" si="9"/>
        <v>0.74151719267368355</v>
      </c>
      <c r="E88">
        <f t="shared" si="9"/>
        <v>0.67848658385800253</v>
      </c>
      <c r="F88">
        <f t="shared" si="9"/>
        <v>0.61990804682266099</v>
      </c>
      <c r="G88">
        <f t="shared" si="9"/>
        <v>0.56217435526862702</v>
      </c>
      <c r="H88">
        <f t="shared" si="9"/>
        <v>0.50334608421656069</v>
      </c>
      <c r="I88">
        <f t="shared" si="9"/>
        <v>0.44210218845255356</v>
      </c>
      <c r="J88">
        <f t="shared" si="9"/>
        <v>0.37737948519968884</v>
      </c>
      <c r="K88">
        <f t="shared" si="9"/>
        <v>0.30822606521600793</v>
      </c>
      <c r="L88">
        <f t="shared" si="9"/>
        <v>0.2337357746484664</v>
      </c>
      <c r="M88" s="6"/>
    </row>
    <row r="89" spans="1:13" x14ac:dyDescent="0.25">
      <c r="A89">
        <v>8000</v>
      </c>
      <c r="B89">
        <f t="shared" si="9"/>
        <v>0.93683002453442721</v>
      </c>
      <c r="C89">
        <f t="shared" si="9"/>
        <v>0.76213701624814267</v>
      </c>
      <c r="D89">
        <f t="shared" si="9"/>
        <v>0.69285332275706402</v>
      </c>
      <c r="E89">
        <f t="shared" si="9"/>
        <v>0.63636450464838945</v>
      </c>
      <c r="F89">
        <f t="shared" si="9"/>
        <v>0.58429932042054711</v>
      </c>
      <c r="G89">
        <f t="shared" si="9"/>
        <v>0.53345920989028339</v>
      </c>
      <c r="H89">
        <f t="shared" si="9"/>
        <v>0.48210913107526421</v>
      </c>
      <c r="I89">
        <f t="shared" si="9"/>
        <v>0.42906360218124073</v>
      </c>
      <c r="J89">
        <f t="shared" si="9"/>
        <v>0.37337117265328212</v>
      </c>
      <c r="K89">
        <f t="shared" si="9"/>
        <v>0.31418513325601904</v>
      </c>
      <c r="L89">
        <f t="shared" si="9"/>
        <v>0.2507050503783968</v>
      </c>
      <c r="M89" s="6"/>
    </row>
    <row r="90" spans="1:13" x14ac:dyDescent="0.25">
      <c r="A90">
        <v>9000</v>
      </c>
      <c r="B90">
        <f t="shared" si="9"/>
        <v>0.85738935398041638</v>
      </c>
      <c r="C90">
        <f t="shared" si="9"/>
        <v>0.70364201253501824</v>
      </c>
      <c r="D90">
        <f t="shared" si="9"/>
        <v>0.64163667086231191</v>
      </c>
      <c r="E90">
        <f t="shared" si="9"/>
        <v>0.59125219070902058</v>
      </c>
      <c r="F90">
        <f t="shared" si="9"/>
        <v>0.54517581863258513</v>
      </c>
      <c r="G90">
        <f t="shared" si="9"/>
        <v>0.50058329773269894</v>
      </c>
      <c r="H90">
        <f t="shared" si="9"/>
        <v>0.45592966670297941</v>
      </c>
      <c r="I90">
        <f t="shared" si="9"/>
        <v>0.41015625895607899</v>
      </c>
      <c r="J90">
        <f t="shared" si="9"/>
        <v>0.36241559990765765</v>
      </c>
      <c r="K90">
        <f t="shared" si="9"/>
        <v>0.31195783138923167</v>
      </c>
      <c r="L90">
        <f t="shared" si="9"/>
        <v>0.25807877498814208</v>
      </c>
      <c r="M90" s="6"/>
    </row>
    <row r="91" spans="1:13" x14ac:dyDescent="0.25">
      <c r="A91">
        <v>10000</v>
      </c>
      <c r="B91">
        <f t="shared" si="9"/>
        <v>0.77836091936184781</v>
      </c>
      <c r="C91">
        <f t="shared" si="9"/>
        <v>0.64368897508292156</v>
      </c>
      <c r="D91">
        <f t="shared" si="9"/>
        <v>0.58852109812172559</v>
      </c>
      <c r="E91">
        <f t="shared" si="9"/>
        <v>0.54383174021631631</v>
      </c>
      <c r="F91">
        <f t="shared" si="9"/>
        <v>0.50326099310640615</v>
      </c>
      <c r="G91">
        <f t="shared" si="9"/>
        <v>0.46432735094387878</v>
      </c>
      <c r="H91">
        <f t="shared" si="9"/>
        <v>0.42566260746753992</v>
      </c>
      <c r="I91">
        <f t="shared" si="9"/>
        <v>0.38632670107358696</v>
      </c>
      <c r="J91">
        <f t="shared" si="9"/>
        <v>0.345568901528784</v>
      </c>
      <c r="K91">
        <f t="shared" si="9"/>
        <v>0.30272850238916404</v>
      </c>
      <c r="L91">
        <f t="shared" si="9"/>
        <v>0.25718892810948552</v>
      </c>
      <c r="M91" s="6"/>
    </row>
    <row r="94" spans="1:13" x14ac:dyDescent="0.25">
      <c r="A94">
        <v>0.8</v>
      </c>
      <c r="B94" s="5" t="s">
        <v>0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3" x14ac:dyDescent="0.25">
      <c r="B95">
        <v>0</v>
      </c>
      <c r="C95">
        <v>0.1</v>
      </c>
      <c r="D95">
        <v>0.2</v>
      </c>
      <c r="E95">
        <v>0.3</v>
      </c>
      <c r="F95">
        <v>0.4</v>
      </c>
      <c r="G95">
        <v>0.5</v>
      </c>
      <c r="H95">
        <v>0.6</v>
      </c>
      <c r="I95">
        <v>0.7</v>
      </c>
      <c r="J95">
        <v>0.8</v>
      </c>
      <c r="K95">
        <v>0.9</v>
      </c>
      <c r="L95">
        <v>1</v>
      </c>
    </row>
    <row r="96" spans="1:13" x14ac:dyDescent="0.25">
      <c r="A96">
        <v>0</v>
      </c>
      <c r="B96">
        <f>IF($A$94&gt;=B21,B36*(1-0.49*SQRT(B$95)),B36*(1-0.49*SQRT(B$95)-3*(B21-$A$94)/(1.5+B$95)))</f>
        <v>2.1000000000000005</v>
      </c>
      <c r="C96">
        <f t="shared" ref="C96:L96" si="10">IF($A$94&gt;=C21,C36*(1-0.49*SQRT(C$95)),C36*(1-0.49*SQRT(C$95)-3*(C21-$A$94)/(1.5+C$95)))</f>
        <v>1.6353084700436857</v>
      </c>
      <c r="D96">
        <f t="shared" si="10"/>
        <v>1.4599093837755484</v>
      </c>
      <c r="E96">
        <f t="shared" si="10"/>
        <v>1.3121909518617891</v>
      </c>
      <c r="F96">
        <f t="shared" si="10"/>
        <v>1.1694969713852905</v>
      </c>
      <c r="G96">
        <f t="shared" si="10"/>
        <v>1.0235524637783249</v>
      </c>
      <c r="H96">
        <f t="shared" si="10"/>
        <v>0.86999951553291799</v>
      </c>
      <c r="I96">
        <f t="shared" si="10"/>
        <v>0.70585514928902393</v>
      </c>
      <c r="J96">
        <f t="shared" si="10"/>
        <v>0.52865531916249475</v>
      </c>
      <c r="K96">
        <f t="shared" si="10"/>
        <v>0.33611796314599524</v>
      </c>
      <c r="L96">
        <f t="shared" si="10"/>
        <v>0.12600000000000058</v>
      </c>
      <c r="M96" s="6" t="s">
        <v>41</v>
      </c>
    </row>
    <row r="97" spans="1:13" x14ac:dyDescent="0.25">
      <c r="A97">
        <v>1000</v>
      </c>
      <c r="B97">
        <f t="shared" ref="B97:L106" si="11">IF($A$94&gt;=B22,B37*(1-0.49*SQRT(B$95)),B37*(1-0.49*SQRT(B$95)-3*(B22-$A$94)/(1.5+B$95)))</f>
        <v>2.0022826010432824</v>
      </c>
      <c r="C97">
        <f t="shared" si="11"/>
        <v>1.5818106216241861</v>
      </c>
      <c r="D97">
        <f t="shared" si="11"/>
        <v>1.4199669292224057</v>
      </c>
      <c r="E97">
        <f t="shared" si="11"/>
        <v>1.2843242344922636</v>
      </c>
      <c r="F97">
        <f t="shared" si="11"/>
        <v>1.1545477201744647</v>
      </c>
      <c r="G97">
        <f t="shared" si="11"/>
        <v>1.0231190935007026</v>
      </c>
      <c r="H97">
        <f>IF($A$94&gt;=H22,H37*(1-0.49*SQRT(H$95)),H37*(1-0.49*SQRT(H$95)-3*(H22-$A$94)/(1.5+H$95)))</f>
        <v>0.88603863159954122</v>
      </c>
      <c r="I97">
        <f t="shared" si="11"/>
        <v>0.74055984422638044</v>
      </c>
      <c r="J97">
        <f t="shared" si="11"/>
        <v>0.58442273136299994</v>
      </c>
      <c r="K97">
        <f t="shared" si="11"/>
        <v>0.4155493920118446</v>
      </c>
      <c r="L97">
        <f t="shared" si="11"/>
        <v>0.23191301626487124</v>
      </c>
      <c r="M97" s="6"/>
    </row>
    <row r="98" spans="1:13" x14ac:dyDescent="0.25">
      <c r="A98">
        <v>2000</v>
      </c>
      <c r="B98">
        <f t="shared" si="11"/>
        <v>1.8949669394179676</v>
      </c>
      <c r="C98">
        <f t="shared" si="11"/>
        <v>1.515774153509384</v>
      </c>
      <c r="D98">
        <f t="shared" si="11"/>
        <v>1.3670787077372444</v>
      </c>
      <c r="E98">
        <f t="shared" si="11"/>
        <v>1.2430210307192848</v>
      </c>
      <c r="F98">
        <f t="shared" si="11"/>
        <v>1.1254072533726782</v>
      </c>
      <c r="G98">
        <f t="shared" si="11"/>
        <v>1.0074303005719705</v>
      </c>
      <c r="H98">
        <f t="shared" si="11"/>
        <v>0.88543372869217385</v>
      </c>
      <c r="I98">
        <f t="shared" si="11"/>
        <v>0.75689927610660368</v>
      </c>
      <c r="J98">
        <f t="shared" si="11"/>
        <v>0.61976221723377589</v>
      </c>
      <c r="K98">
        <f t="shared" si="11"/>
        <v>0.47213728522402326</v>
      </c>
      <c r="L98">
        <f t="shared" si="11"/>
        <v>0.3121991158150707</v>
      </c>
      <c r="M98" s="6"/>
    </row>
    <row r="99" spans="1:13" x14ac:dyDescent="0.25">
      <c r="A99">
        <v>3000</v>
      </c>
      <c r="B99">
        <f t="shared" si="11"/>
        <v>1.7806859533337138</v>
      </c>
      <c r="C99">
        <f t="shared" si="11"/>
        <v>1.4398121063151386</v>
      </c>
      <c r="D99">
        <f t="shared" si="11"/>
        <v>1.3037721683127699</v>
      </c>
      <c r="E99">
        <f t="shared" si="11"/>
        <v>1.1907531314790429</v>
      </c>
      <c r="F99">
        <f t="shared" si="11"/>
        <v>1.0845247874260957</v>
      </c>
      <c r="G99">
        <f t="shared" si="11"/>
        <v>0.97894469035912401</v>
      </c>
      <c r="H99">
        <f t="shared" si="11"/>
        <v>0.87068317078687862</v>
      </c>
      <c r="I99">
        <f t="shared" si="11"/>
        <v>0.75744062981748406</v>
      </c>
      <c r="J99">
        <f t="shared" si="11"/>
        <v>0.63733798156369748</v>
      </c>
      <c r="K99">
        <f t="shared" si="11"/>
        <v>0.50867064506585158</v>
      </c>
      <c r="L99">
        <f t="shared" si="11"/>
        <v>0.36979985025486012</v>
      </c>
      <c r="M99" s="6"/>
    </row>
    <row r="100" spans="1:13" x14ac:dyDescent="0.25">
      <c r="A100">
        <v>4000</v>
      </c>
      <c r="B100">
        <f t="shared" si="11"/>
        <v>1.6619596777550356</v>
      </c>
      <c r="C100">
        <f t="shared" si="11"/>
        <v>1.3565660277069296</v>
      </c>
      <c r="D100">
        <f t="shared" si="11"/>
        <v>1.2326404877709216</v>
      </c>
      <c r="E100">
        <f t="shared" si="11"/>
        <v>1.1300928008107534</v>
      </c>
      <c r="F100">
        <f t="shared" si="11"/>
        <v>1.0344900286089773</v>
      </c>
      <c r="G100">
        <f t="shared" si="11"/>
        <v>0.94030900594321654</v>
      </c>
      <c r="H100">
        <f t="shared" si="11"/>
        <v>0.84452977364550474</v>
      </c>
      <c r="I100">
        <f t="shared" si="11"/>
        <v>0.74506118597009474</v>
      </c>
      <c r="J100">
        <f t="shared" si="11"/>
        <v>0.64019989171293357</v>
      </c>
      <c r="K100">
        <f t="shared" si="11"/>
        <v>0.52841025363566263</v>
      </c>
      <c r="L100">
        <f t="shared" si="11"/>
        <v>0.40822591577580969</v>
      </c>
      <c r="M100" s="6"/>
    </row>
    <row r="101" spans="1:13" x14ac:dyDescent="0.25">
      <c r="A101">
        <v>5000</v>
      </c>
      <c r="B101">
        <f t="shared" si="11"/>
        <v>1.5410944636265083</v>
      </c>
      <c r="C101">
        <f t="shared" si="11"/>
        <v>1.2684426400520299</v>
      </c>
      <c r="D101">
        <f t="shared" si="11"/>
        <v>1.1560435322668414</v>
      </c>
      <c r="E101">
        <f t="shared" si="11"/>
        <v>1.0633782703412604</v>
      </c>
      <c r="F101">
        <f t="shared" si="11"/>
        <v>0.97765416091532886</v>
      </c>
      <c r="G101">
        <f t="shared" si="11"/>
        <v>0.89392292678509244</v>
      </c>
      <c r="H101">
        <f t="shared" si="11"/>
        <v>0.80945666943524874</v>
      </c>
      <c r="I101">
        <f t="shared" si="11"/>
        <v>0.72236185070366743</v>
      </c>
      <c r="J101">
        <f t="shared" si="11"/>
        <v>0.63110065883446398</v>
      </c>
      <c r="K101">
        <f t="shared" si="11"/>
        <v>0.53429479976668981</v>
      </c>
      <c r="L101">
        <f t="shared" si="11"/>
        <v>0.43063671232848566</v>
      </c>
      <c r="M101" s="6"/>
    </row>
    <row r="102" spans="1:13" x14ac:dyDescent="0.25">
      <c r="A102">
        <v>6000</v>
      </c>
      <c r="B102">
        <f t="shared" si="11"/>
        <v>1.419960204997706</v>
      </c>
      <c r="C102">
        <f t="shared" si="11"/>
        <v>1.1774378490285793</v>
      </c>
      <c r="D102">
        <f t="shared" si="11"/>
        <v>1.0759498725392935</v>
      </c>
      <c r="E102">
        <f t="shared" si="11"/>
        <v>0.99257084606803136</v>
      </c>
      <c r="F102">
        <f t="shared" si="11"/>
        <v>0.91600139170641404</v>
      </c>
      <c r="G102">
        <f t="shared" si="11"/>
        <v>0.84182523705054313</v>
      </c>
      <c r="H102">
        <f t="shared" si="11"/>
        <v>0.76758872655157651</v>
      </c>
      <c r="I102">
        <f t="shared" si="11"/>
        <v>0.69158476139940694</v>
      </c>
      <c r="J102">
        <f t="shared" si="11"/>
        <v>0.61243081531829624</v>
      </c>
      <c r="K102">
        <f t="shared" si="11"/>
        <v>0.52889464522733465</v>
      </c>
      <c r="L102">
        <f t="shared" si="11"/>
        <v>0.4398145411061718</v>
      </c>
      <c r="M102" s="6"/>
    </row>
    <row r="103" spans="1:13" x14ac:dyDescent="0.25">
      <c r="A103">
        <v>7000</v>
      </c>
      <c r="B103">
        <f t="shared" si="11"/>
        <v>1.3003066383757638</v>
      </c>
      <c r="C103">
        <f t="shared" si="11"/>
        <v>1.0854007671641803</v>
      </c>
      <c r="D103">
        <f t="shared" si="11"/>
        <v>0.99417861767803872</v>
      </c>
      <c r="E103">
        <f t="shared" si="11"/>
        <v>0.91947857135388966</v>
      </c>
      <c r="F103">
        <f t="shared" si="11"/>
        <v>0.85135604391311681</v>
      </c>
      <c r="G103">
        <f t="shared" si="11"/>
        <v>0.78588499199123341</v>
      </c>
      <c r="H103">
        <f t="shared" si="11"/>
        <v>0.72086790060353034</v>
      </c>
      <c r="I103">
        <f t="shared" si="11"/>
        <v>0.65477255998625195</v>
      </c>
      <c r="J103">
        <f t="shared" si="11"/>
        <v>0.58636134708217336</v>
      </c>
      <c r="K103">
        <f t="shared" si="11"/>
        <v>0.51453698574907825</v>
      </c>
      <c r="L103">
        <f t="shared" si="11"/>
        <v>0.43827121393770646</v>
      </c>
      <c r="M103" s="6"/>
    </row>
    <row r="104" spans="1:13" x14ac:dyDescent="0.25">
      <c r="A104">
        <v>8000</v>
      </c>
      <c r="B104">
        <f t="shared" si="11"/>
        <v>1.1831775072590078</v>
      </c>
      <c r="C104">
        <f t="shared" si="11"/>
        <v>0.99354968283254574</v>
      </c>
      <c r="D104">
        <f t="shared" si="11"/>
        <v>0.91195767209798517</v>
      </c>
      <c r="E104">
        <f t="shared" si="11"/>
        <v>0.84534928582640856</v>
      </c>
      <c r="F104">
        <f t="shared" si="11"/>
        <v>0.78500769055615294</v>
      </c>
      <c r="G104">
        <f t="shared" si="11"/>
        <v>0.72745785253589057</v>
      </c>
      <c r="H104">
        <f t="shared" si="11"/>
        <v>0.67074091784722889</v>
      </c>
      <c r="I104">
        <f t="shared" si="11"/>
        <v>0.61348828583914272</v>
      </c>
      <c r="J104">
        <f t="shared" si="11"/>
        <v>0.55459723385762583</v>
      </c>
      <c r="K104">
        <f t="shared" si="11"/>
        <v>0.49309499258474571</v>
      </c>
      <c r="L104">
        <f t="shared" si="11"/>
        <v>0.42807523794009483</v>
      </c>
      <c r="M104" s="6"/>
    </row>
    <row r="105" spans="1:13" x14ac:dyDescent="0.25">
      <c r="A105">
        <v>9000</v>
      </c>
      <c r="B105">
        <f t="shared" si="11"/>
        <v>1.0641658440276407</v>
      </c>
      <c r="C105">
        <f t="shared" si="11"/>
        <v>0.90107018141505935</v>
      </c>
      <c r="D105">
        <f t="shared" si="11"/>
        <v>0.8309329951175819</v>
      </c>
      <c r="E105">
        <f t="shared" si="11"/>
        <v>0.77180566224571046</v>
      </c>
      <c r="F105">
        <f t="shared" si="11"/>
        <v>0.71857884248045767</v>
      </c>
      <c r="G105">
        <f t="shared" si="11"/>
        <v>0.66818941816705257</v>
      </c>
      <c r="H105">
        <f t="shared" si="11"/>
        <v>0.61889906453121257</v>
      </c>
      <c r="I105">
        <f t="shared" si="11"/>
        <v>0.56949090851185402</v>
      </c>
      <c r="J105">
        <f t="shared" si="11"/>
        <v>0.51898678322024627</v>
      </c>
      <c r="K105">
        <f t="shared" si="11"/>
        <v>0.46652792023424661</v>
      </c>
      <c r="L105">
        <f t="shared" si="11"/>
        <v>0.41131865652812244</v>
      </c>
      <c r="M105" s="6"/>
    </row>
    <row r="106" spans="1:13" x14ac:dyDescent="0.25">
      <c r="A106">
        <v>10000</v>
      </c>
      <c r="B106">
        <f t="shared" si="11"/>
        <v>0.91559723593287279</v>
      </c>
      <c r="C106">
        <f t="shared" si="11"/>
        <v>0.77527142232139845</v>
      </c>
      <c r="D106">
        <f t="shared" si="11"/>
        <v>0.72067781045867518</v>
      </c>
      <c r="E106">
        <f t="shared" si="11"/>
        <v>0.681923118371215</v>
      </c>
      <c r="F106">
        <f t="shared" si="11"/>
        <v>0.65206993562243143</v>
      </c>
      <c r="G106">
        <f t="shared" si="11"/>
        <v>0.6085339156033065</v>
      </c>
      <c r="H106">
        <f t="shared" si="11"/>
        <v>0.56587978417040286</v>
      </c>
      <c r="I106">
        <f t="shared" si="11"/>
        <v>0.52341657812644538</v>
      </c>
      <c r="J106">
        <f t="shared" si="11"/>
        <v>0.48028112093734249</v>
      </c>
      <c r="K106">
        <f t="shared" si="11"/>
        <v>0.43571900090841398</v>
      </c>
      <c r="L106">
        <f t="shared" si="11"/>
        <v>0.38903493008381929</v>
      </c>
      <c r="M106" s="6"/>
    </row>
    <row r="109" spans="1:13" x14ac:dyDescent="0.25">
      <c r="A109">
        <v>0.9</v>
      </c>
      <c r="B109" s="5" t="s">
        <v>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3" x14ac:dyDescent="0.25">
      <c r="B110">
        <v>0</v>
      </c>
      <c r="C110">
        <v>0.1</v>
      </c>
      <c r="D110">
        <v>0.2</v>
      </c>
      <c r="E110">
        <v>0.3</v>
      </c>
      <c r="F110">
        <v>0.4</v>
      </c>
      <c r="G110">
        <v>0.5</v>
      </c>
      <c r="H110">
        <v>0.6</v>
      </c>
      <c r="I110">
        <v>0.7</v>
      </c>
      <c r="J110">
        <v>0.8</v>
      </c>
      <c r="K110">
        <v>0.9</v>
      </c>
      <c r="L110">
        <v>1</v>
      </c>
    </row>
    <row r="111" spans="1:13" x14ac:dyDescent="0.25">
      <c r="A111">
        <v>0</v>
      </c>
      <c r="B111">
        <f>IF($A$109&gt;=B21,B36*(1-0.49*SQRT(B$110)),B36*(1-0.49*SQRT(B$110)-3*(B21-$A$109)/(1.5+B$110)))</f>
        <v>2.8000000000000007</v>
      </c>
      <c r="C111">
        <f t="shared" ref="C111:L111" si="12">IF($A$109&gt;=C21,C36*(1-0.49*SQRT(C$110)),C36*(1-0.49*SQRT(C$110)-3*(C21-$A$109)/(1.5+C$110)))</f>
        <v>2.292870970043686</v>
      </c>
      <c r="D111">
        <f t="shared" si="12"/>
        <v>2.0824976190696658</v>
      </c>
      <c r="E111">
        <f t="shared" si="12"/>
        <v>1.9060242851951226</v>
      </c>
      <c r="F111">
        <f t="shared" si="12"/>
        <v>1.7398127608589748</v>
      </c>
      <c r="G111">
        <f t="shared" si="12"/>
        <v>1.5748024637783249</v>
      </c>
      <c r="H111">
        <f t="shared" si="12"/>
        <v>1.4059995155329179</v>
      </c>
      <c r="I111">
        <f t="shared" si="12"/>
        <v>1.2299006038344784</v>
      </c>
      <c r="J111">
        <f t="shared" si="12"/>
        <v>1.0436118409016251</v>
      </c>
      <c r="K111">
        <f t="shared" si="12"/>
        <v>0.84449296314599498</v>
      </c>
      <c r="L111">
        <f t="shared" si="12"/>
        <v>0.63000000000000034</v>
      </c>
      <c r="M111" s="6" t="s">
        <v>41</v>
      </c>
    </row>
    <row r="112" spans="1:13" x14ac:dyDescent="0.25">
      <c r="A112">
        <v>1000</v>
      </c>
      <c r="B112">
        <f t="shared" ref="B112:L121" si="13">IF($A$109&gt;=B22,B37*(1-0.49*SQRT(B$110)),B37*(1-0.49*SQRT(B$110)-3*(B22-$A$109)/(1.5+B$110)))</f>
        <v>2.623368484557596</v>
      </c>
      <c r="C112">
        <f t="shared" si="13"/>
        <v>2.1652431734504445</v>
      </c>
      <c r="D112">
        <f t="shared" si="13"/>
        <v>1.9723680209127836</v>
      </c>
      <c r="E112">
        <f t="shared" si="13"/>
        <v>1.8112120923402399</v>
      </c>
      <c r="F112">
        <f t="shared" si="13"/>
        <v>1.6605692715850742</v>
      </c>
      <c r="G112">
        <f t="shared" si="13"/>
        <v>1.5122242267682247</v>
      </c>
      <c r="H112">
        <f t="shared" si="13"/>
        <v>1.36161296526193</v>
      </c>
      <c r="I112">
        <f t="shared" si="13"/>
        <v>1.2055273215664144</v>
      </c>
      <c r="J112">
        <f t="shared" si="13"/>
        <v>1.0413259117570082</v>
      </c>
      <c r="K112">
        <f t="shared" si="13"/>
        <v>0.8666130149141148</v>
      </c>
      <c r="L112">
        <f t="shared" si="13"/>
        <v>0.67909485239517697</v>
      </c>
      <c r="M112" s="6"/>
    </row>
    <row r="113" spans="1:13" x14ac:dyDescent="0.25">
      <c r="A113">
        <v>2000</v>
      </c>
      <c r="B113">
        <f t="shared" si="13"/>
        <v>2.444325280977691</v>
      </c>
      <c r="C113">
        <f t="shared" si="13"/>
        <v>2.0318276456120494</v>
      </c>
      <c r="D113">
        <f t="shared" si="13"/>
        <v>1.8556844797597749</v>
      </c>
      <c r="E113">
        <f t="shared" si="13"/>
        <v>1.7090600238091169</v>
      </c>
      <c r="F113">
        <f t="shared" si="13"/>
        <v>1.572989733759232</v>
      </c>
      <c r="G113">
        <f t="shared" si="13"/>
        <v>1.4400499945502527</v>
      </c>
      <c r="H113">
        <f t="shared" si="13"/>
        <v>1.3060852588007621</v>
      </c>
      <c r="I113">
        <f t="shared" si="13"/>
        <v>1.1681689072651786</v>
      </c>
      <c r="J113">
        <f t="shared" si="13"/>
        <v>1.0238988754594507</v>
      </c>
      <c r="K113">
        <f t="shared" si="13"/>
        <v>0.87110878078177234</v>
      </c>
      <c r="L113">
        <f t="shared" si="13"/>
        <v>0.70773712173807146</v>
      </c>
      <c r="M113" s="6"/>
    </row>
    <row r="114" spans="1:13" x14ac:dyDescent="0.25">
      <c r="A114">
        <v>3000</v>
      </c>
      <c r="B114">
        <f t="shared" si="13"/>
        <v>2.2652269207572084</v>
      </c>
      <c r="C114">
        <f t="shared" si="13"/>
        <v>1.8949777775885837</v>
      </c>
      <c r="D114">
        <f t="shared" si="13"/>
        <v>1.7347286052211954</v>
      </c>
      <c r="E114">
        <f t="shared" si="13"/>
        <v>1.6018053855099741</v>
      </c>
      <c r="F114">
        <f t="shared" si="13"/>
        <v>1.4792981650953427</v>
      </c>
      <c r="G114">
        <f t="shared" si="13"/>
        <v>1.3605207022051258</v>
      </c>
      <c r="H114">
        <f t="shared" si="13"/>
        <v>1.2417031115568686</v>
      </c>
      <c r="I114">
        <f t="shared" si="13"/>
        <v>1.1201856177022547</v>
      </c>
      <c r="J114">
        <f t="shared" si="13"/>
        <v>0.99379159759872038</v>
      </c>
      <c r="K114">
        <f t="shared" si="13"/>
        <v>0.86056852265716455</v>
      </c>
      <c r="L114">
        <f t="shared" si="13"/>
        <v>0.71866934679977623</v>
      </c>
      <c r="M114" s="6"/>
    </row>
    <row r="115" spans="1:13" x14ac:dyDescent="0.25">
      <c r="A115">
        <v>4000</v>
      </c>
      <c r="B115">
        <f t="shared" si="13"/>
        <v>2.0880406254351938</v>
      </c>
      <c r="C115">
        <f t="shared" si="13"/>
        <v>1.7568158179339779</v>
      </c>
      <c r="D115">
        <f t="shared" si="13"/>
        <v>1.6116018953546858</v>
      </c>
      <c r="E115">
        <f t="shared" si="13"/>
        <v>1.4915514714260873</v>
      </c>
      <c r="F115">
        <f t="shared" si="13"/>
        <v>1.3816338744031269</v>
      </c>
      <c r="G115">
        <f t="shared" si="13"/>
        <v>1.2758477522413409</v>
      </c>
      <c r="H115">
        <f t="shared" si="13"/>
        <v>1.1707860421548828</v>
      </c>
      <c r="I115">
        <f t="shared" si="13"/>
        <v>1.0640408772561039</v>
      </c>
      <c r="J115">
        <f t="shared" si="13"/>
        <v>0.9536472671367715</v>
      </c>
      <c r="K115">
        <f t="shared" si="13"/>
        <v>0.83785154188837729</v>
      </c>
      <c r="L115">
        <f t="shared" si="13"/>
        <v>0.7150041981055234</v>
      </c>
      <c r="M115" s="6"/>
    </row>
    <row r="116" spans="1:13" x14ac:dyDescent="0.25">
      <c r="A116">
        <v>5000</v>
      </c>
      <c r="B116">
        <f t="shared" si="13"/>
        <v>1.8674728529121425</v>
      </c>
      <c r="C116">
        <f t="shared" si="13"/>
        <v>1.5812611462819468</v>
      </c>
      <c r="D116">
        <f t="shared" si="13"/>
        <v>1.4699107794449582</v>
      </c>
      <c r="E116">
        <f t="shared" si="13"/>
        <v>1.3802261643853539</v>
      </c>
      <c r="F116">
        <f t="shared" si="13"/>
        <v>1.2819539478951181</v>
      </c>
      <c r="G116">
        <f t="shared" si="13"/>
        <v>1.1880499011187549</v>
      </c>
      <c r="H116">
        <f t="shared" si="13"/>
        <v>1.0954467977669369</v>
      </c>
      <c r="I116">
        <f t="shared" si="13"/>
        <v>1.0019734678624219</v>
      </c>
      <c r="J116">
        <f t="shared" si="13"/>
        <v>0.90586275162814622</v>
      </c>
      <c r="K116">
        <f t="shared" si="13"/>
        <v>0.80554523165217851</v>
      </c>
      <c r="L116">
        <f t="shared" si="13"/>
        <v>0.69955280314783408</v>
      </c>
      <c r="M116" s="6"/>
    </row>
    <row r="117" spans="1:13" x14ac:dyDescent="0.25">
      <c r="A117">
        <v>6000</v>
      </c>
      <c r="B117">
        <f t="shared" si="13"/>
        <v>1.631490621915104</v>
      </c>
      <c r="C117">
        <f t="shared" si="13"/>
        <v>1.3814459080006205</v>
      </c>
      <c r="D117">
        <f t="shared" si="13"/>
        <v>1.2841662720701374</v>
      </c>
      <c r="E117">
        <f t="shared" si="13"/>
        <v>1.2151097980939161</v>
      </c>
      <c r="F117">
        <f t="shared" si="13"/>
        <v>1.1619148060411779</v>
      </c>
      <c r="G117">
        <f t="shared" si="13"/>
        <v>1.0987850100021719</v>
      </c>
      <c r="H117">
        <f t="shared" si="13"/>
        <v>1.0174398617934324</v>
      </c>
      <c r="I117">
        <f t="shared" si="13"/>
        <v>0.93586340269887758</v>
      </c>
      <c r="J117">
        <f t="shared" si="13"/>
        <v>0.85247273986441419</v>
      </c>
      <c r="K117">
        <f t="shared" si="13"/>
        <v>0.76586865806050342</v>
      </c>
      <c r="L117">
        <f t="shared" si="13"/>
        <v>0.67474919066194672</v>
      </c>
      <c r="M117" s="6"/>
    </row>
    <row r="118" spans="1:13" x14ac:dyDescent="0.25">
      <c r="A118">
        <v>7000</v>
      </c>
      <c r="B118">
        <f t="shared" si="13"/>
        <v>1.4203849950641658</v>
      </c>
      <c r="C118">
        <f t="shared" si="13"/>
        <v>1.2026946479861391</v>
      </c>
      <c r="D118">
        <f t="shared" si="13"/>
        <v>1.1180024448285333</v>
      </c>
      <c r="E118">
        <f t="shared" si="13"/>
        <v>1.0578814866505903</v>
      </c>
      <c r="F118">
        <f t="shared" si="13"/>
        <v>1.0115696246580437</v>
      </c>
      <c r="G118">
        <f t="shared" si="13"/>
        <v>0.97465903786699837</v>
      </c>
      <c r="H118">
        <f t="shared" si="13"/>
        <v>0.93838971699049978</v>
      </c>
      <c r="I118">
        <f t="shared" si="13"/>
        <v>0.86744293151995011</v>
      </c>
      <c r="J118">
        <f t="shared" si="13"/>
        <v>0.79534320896465749</v>
      </c>
      <c r="K118">
        <f t="shared" si="13"/>
        <v>0.72084790628214823</v>
      </c>
      <c r="L118">
        <f t="shared" si="13"/>
        <v>0.6428066532269463</v>
      </c>
      <c r="M118" s="6"/>
    </row>
    <row r="119" spans="1:13" x14ac:dyDescent="0.25">
      <c r="A119">
        <v>8000</v>
      </c>
      <c r="B119">
        <f t="shared" si="13"/>
        <v>1.2317374136229022</v>
      </c>
      <c r="C119">
        <f t="shared" si="13"/>
        <v>1.0429594794625605</v>
      </c>
      <c r="D119">
        <f t="shared" si="13"/>
        <v>0.9695156204849722</v>
      </c>
      <c r="E119">
        <f t="shared" si="13"/>
        <v>0.91737959131825708</v>
      </c>
      <c r="F119">
        <f t="shared" si="13"/>
        <v>0.87721861150715774</v>
      </c>
      <c r="G119">
        <f t="shared" si="13"/>
        <v>0.8452102821687788</v>
      </c>
      <c r="H119">
        <f t="shared" si="13"/>
        <v>0.81925301805279882</v>
      </c>
      <c r="I119">
        <f t="shared" si="13"/>
        <v>0.79791296949704449</v>
      </c>
      <c r="J119">
        <f t="shared" si="13"/>
        <v>0.73582329506196942</v>
      </c>
      <c r="K119">
        <f t="shared" si="13"/>
        <v>0.67200485191347226</v>
      </c>
      <c r="L119">
        <f t="shared" si="13"/>
        <v>0.6054454255017927</v>
      </c>
      <c r="M119" s="6"/>
    </row>
    <row r="120" spans="1:13" x14ac:dyDescent="0.25">
      <c r="A120">
        <v>9000</v>
      </c>
      <c r="B120">
        <f t="shared" si="13"/>
        <v>1.0641658440276407</v>
      </c>
      <c r="C120">
        <f t="shared" si="13"/>
        <v>0.90107018141505935</v>
      </c>
      <c r="D120">
        <f t="shared" si="13"/>
        <v>0.83761798347649796</v>
      </c>
      <c r="E120">
        <f t="shared" si="13"/>
        <v>0.79257479418239329</v>
      </c>
      <c r="F120">
        <f t="shared" si="13"/>
        <v>0.75787751008192039</v>
      </c>
      <c r="G120">
        <f t="shared" si="13"/>
        <v>0.73022375009252127</v>
      </c>
      <c r="H120">
        <f t="shared" si="13"/>
        <v>0.7077978388787155</v>
      </c>
      <c r="I120">
        <f t="shared" si="13"/>
        <v>0.68943066730604086</v>
      </c>
      <c r="J120">
        <f t="shared" si="13"/>
        <v>0.67428974809850717</v>
      </c>
      <c r="K120">
        <f t="shared" si="13"/>
        <v>0.62109800907926138</v>
      </c>
      <c r="L120">
        <f t="shared" si="13"/>
        <v>0.56455853806810263</v>
      </c>
      <c r="M120" s="6"/>
    </row>
    <row r="121" spans="1:13" x14ac:dyDescent="0.25">
      <c r="A121">
        <v>10000</v>
      </c>
      <c r="B121">
        <f t="shared" si="13"/>
        <v>0.91559723593287279</v>
      </c>
      <c r="C121">
        <f t="shared" si="13"/>
        <v>0.77527142232139845</v>
      </c>
      <c r="D121">
        <f t="shared" si="13"/>
        <v>0.72067781045867518</v>
      </c>
      <c r="E121">
        <f t="shared" si="13"/>
        <v>0.681923118371215</v>
      </c>
      <c r="F121">
        <f t="shared" si="13"/>
        <v>0.65206993562243143</v>
      </c>
      <c r="G121">
        <f t="shared" si="13"/>
        <v>0.62827692783934475</v>
      </c>
      <c r="H121">
        <f t="shared" si="13"/>
        <v>0.60898190682746622</v>
      </c>
      <c r="I121">
        <f t="shared" si="13"/>
        <v>0.59317898323409368</v>
      </c>
      <c r="J121">
        <f t="shared" si="13"/>
        <v>0.58015189365618325</v>
      </c>
      <c r="K121">
        <f t="shared" si="13"/>
        <v>0.56870949942766369</v>
      </c>
      <c r="L121">
        <f t="shared" si="13"/>
        <v>0.52088093205815289</v>
      </c>
      <c r="M121" s="6"/>
    </row>
    <row r="124" spans="1:13" x14ac:dyDescent="0.25">
      <c r="A124">
        <v>1</v>
      </c>
      <c r="B124" s="5" t="s">
        <v>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3" x14ac:dyDescent="0.25">
      <c r="B125">
        <v>0</v>
      </c>
      <c r="C125">
        <v>0.1</v>
      </c>
      <c r="D125">
        <v>0.2</v>
      </c>
      <c r="E125">
        <v>0.3</v>
      </c>
      <c r="F125">
        <v>0.4</v>
      </c>
      <c r="G125">
        <v>0.5</v>
      </c>
      <c r="H125">
        <v>0.6</v>
      </c>
      <c r="I125">
        <v>0.7</v>
      </c>
      <c r="J125">
        <v>0.8</v>
      </c>
      <c r="K125">
        <v>0.9</v>
      </c>
      <c r="L125">
        <v>1</v>
      </c>
    </row>
    <row r="126" spans="1:13" x14ac:dyDescent="0.25">
      <c r="A126">
        <v>0</v>
      </c>
      <c r="B126">
        <f>IF($A$124&gt;=B21,B36*(1-0.49*SQRT(B$125)),B36*(1-0.49*SQRT(B$125)-3*(B21-$A$124)/(1.5+B$125)))</f>
        <v>3.5000000000000004</v>
      </c>
      <c r="C126">
        <f t="shared" ref="C126:L126" si="14">IF($A$124&gt;=C21,C36*(1-0.49*SQRT(C$125)),C36*(1-0.49*SQRT(C$125)-3*(C21-$A$124)/(1.5+C$125)))</f>
        <v>2.9504334700436856</v>
      </c>
      <c r="D126">
        <f t="shared" si="14"/>
        <v>2.7050858543637832</v>
      </c>
      <c r="E126">
        <f t="shared" si="14"/>
        <v>2.499857618528456</v>
      </c>
      <c r="F126">
        <f t="shared" si="14"/>
        <v>2.3101285503326587</v>
      </c>
      <c r="G126">
        <f t="shared" si="14"/>
        <v>2.1260524637783251</v>
      </c>
      <c r="H126">
        <f t="shared" si="14"/>
        <v>1.9419995155329177</v>
      </c>
      <c r="I126">
        <f t="shared" si="14"/>
        <v>1.7539460583799327</v>
      </c>
      <c r="J126">
        <f t="shared" si="14"/>
        <v>1.5585683626407558</v>
      </c>
      <c r="K126">
        <f t="shared" si="14"/>
        <v>1.352867963145995</v>
      </c>
      <c r="L126">
        <f t="shared" si="14"/>
        <v>1.1340000000000003</v>
      </c>
      <c r="M126" s="6" t="s">
        <v>41</v>
      </c>
    </row>
    <row r="127" spans="1:13" x14ac:dyDescent="0.25">
      <c r="A127">
        <v>1000</v>
      </c>
      <c r="B127">
        <f t="shared" ref="B127:L136" si="15">IF($A$124&gt;=B22,B37*(1-0.49*SQRT(B$125)),B37*(1-0.49*SQRT(B$125)-3*(B22-$A$124)/(1.5+B$125)))</f>
        <v>3.1054294175715693</v>
      </c>
      <c r="C127">
        <f t="shared" si="15"/>
        <v>2.6294866203112184</v>
      </c>
      <c r="D127">
        <f t="shared" si="15"/>
        <v>2.4443215699632344</v>
      </c>
      <c r="E127">
        <f t="shared" si="15"/>
        <v>2.3128773539322562</v>
      </c>
      <c r="F127">
        <f t="shared" si="15"/>
        <v>2.1665908229956834</v>
      </c>
      <c r="G127">
        <f t="shared" si="15"/>
        <v>2.0013293600357467</v>
      </c>
      <c r="H127">
        <f t="shared" si="15"/>
        <v>1.837187298924319</v>
      </c>
      <c r="I127">
        <f t="shared" si="15"/>
        <v>1.6704947989064485</v>
      </c>
      <c r="J127">
        <f t="shared" si="15"/>
        <v>1.4982290921510162</v>
      </c>
      <c r="K127">
        <f t="shared" si="15"/>
        <v>1.3176766378163853</v>
      </c>
      <c r="L127">
        <f t="shared" si="15"/>
        <v>1.1262766885254829</v>
      </c>
      <c r="M127" s="6"/>
    </row>
    <row r="128" spans="1:13" x14ac:dyDescent="0.25">
      <c r="A128">
        <v>2000</v>
      </c>
      <c r="B128">
        <f t="shared" si="15"/>
        <v>2.7467917077986179</v>
      </c>
      <c r="C128">
        <f t="shared" si="15"/>
        <v>2.325814266964195</v>
      </c>
      <c r="D128">
        <f t="shared" si="15"/>
        <v>2.1620334313760257</v>
      </c>
      <c r="E128">
        <f t="shared" si="15"/>
        <v>2.0457693551136451</v>
      </c>
      <c r="F128">
        <f t="shared" si="15"/>
        <v>1.9562098068672946</v>
      </c>
      <c r="G128">
        <f t="shared" si="15"/>
        <v>1.872669688528535</v>
      </c>
      <c r="H128">
        <f t="shared" si="15"/>
        <v>1.7267367889093503</v>
      </c>
      <c r="I128">
        <f t="shared" si="15"/>
        <v>1.5794385384237533</v>
      </c>
      <c r="J128">
        <f t="shared" si="15"/>
        <v>1.4280355336851256</v>
      </c>
      <c r="K128">
        <f t="shared" si="15"/>
        <v>1.2700802763395216</v>
      </c>
      <c r="L128">
        <f t="shared" si="15"/>
        <v>1.1032751276610724</v>
      </c>
      <c r="M128" s="6"/>
    </row>
    <row r="129" spans="1:13" x14ac:dyDescent="0.25">
      <c r="A129">
        <v>3000</v>
      </c>
      <c r="B129">
        <f t="shared" si="15"/>
        <v>2.4227048371174731</v>
      </c>
      <c r="C129">
        <f t="shared" si="15"/>
        <v>2.0513974389877911</v>
      </c>
      <c r="D129">
        <f t="shared" si="15"/>
        <v>1.9069406818627281</v>
      </c>
      <c r="E129">
        <f t="shared" si="15"/>
        <v>1.8043943041580977</v>
      </c>
      <c r="F129">
        <f t="shared" si="15"/>
        <v>1.7254016560696186</v>
      </c>
      <c r="G129">
        <f t="shared" si="15"/>
        <v>1.6624444596262207</v>
      </c>
      <c r="H129">
        <f t="shared" si="15"/>
        <v>1.6113891059147898</v>
      </c>
      <c r="I129">
        <f t="shared" si="15"/>
        <v>1.4829306055870255</v>
      </c>
      <c r="J129">
        <f t="shared" si="15"/>
        <v>1.3502452136337433</v>
      </c>
      <c r="K129">
        <f t="shared" si="15"/>
        <v>1.2124664002484773</v>
      </c>
      <c r="L129">
        <f t="shared" si="15"/>
        <v>1.0675388433446922</v>
      </c>
      <c r="M129" s="6"/>
    </row>
    <row r="130" spans="1:13" x14ac:dyDescent="0.25">
      <c r="A130">
        <v>4000</v>
      </c>
      <c r="B130">
        <f t="shared" si="15"/>
        <v>2.1304047384007898</v>
      </c>
      <c r="C130">
        <f t="shared" si="15"/>
        <v>1.8038956943523556</v>
      </c>
      <c r="D130">
        <f t="shared" si="15"/>
        <v>1.6768676902974307</v>
      </c>
      <c r="E130">
        <f t="shared" si="15"/>
        <v>1.5866935652365701</v>
      </c>
      <c r="F130">
        <f t="shared" si="15"/>
        <v>1.5172314049237403</v>
      </c>
      <c r="G130">
        <f t="shared" si="15"/>
        <v>1.4618700139839242</v>
      </c>
      <c r="H130">
        <f t="shared" si="15"/>
        <v>1.4169745047162858</v>
      </c>
      <c r="I130">
        <f t="shared" si="15"/>
        <v>1.3802043813665741</v>
      </c>
      <c r="J130">
        <f t="shared" si="15"/>
        <v>1.2670946425606093</v>
      </c>
      <c r="K130">
        <f t="shared" si="15"/>
        <v>1.1472928301410918</v>
      </c>
      <c r="L130">
        <f t="shared" si="15"/>
        <v>1.0217824804352371</v>
      </c>
      <c r="M130" s="6"/>
    </row>
    <row r="131" spans="1:13" x14ac:dyDescent="0.25">
      <c r="A131">
        <v>5000</v>
      </c>
      <c r="B131">
        <f t="shared" si="15"/>
        <v>1.8674728529121425</v>
      </c>
      <c r="C131">
        <f t="shared" si="15"/>
        <v>1.5812611462819468</v>
      </c>
      <c r="D131">
        <f t="shared" si="15"/>
        <v>1.4699107794449582</v>
      </c>
      <c r="E131">
        <f t="shared" si="15"/>
        <v>1.390865831998648</v>
      </c>
      <c r="F131">
        <f t="shared" si="15"/>
        <v>1.3299766045431103</v>
      </c>
      <c r="G131">
        <f t="shared" si="15"/>
        <v>1.2814478471591164</v>
      </c>
      <c r="H131">
        <f t="shared" si="15"/>
        <v>1.2420932854348887</v>
      </c>
      <c r="I131">
        <f t="shared" si="15"/>
        <v>1.2098612846718024</v>
      </c>
      <c r="J131">
        <f t="shared" si="15"/>
        <v>1.1806248444218284</v>
      </c>
      <c r="K131">
        <f t="shared" si="15"/>
        <v>1.076795663537667</v>
      </c>
      <c r="L131">
        <f t="shared" si="15"/>
        <v>0.96846889396718261</v>
      </c>
      <c r="M131" s="6"/>
    </row>
    <row r="132" spans="1:13" x14ac:dyDescent="0.25">
      <c r="A132">
        <v>6000</v>
      </c>
      <c r="B132">
        <f t="shared" si="15"/>
        <v>1.631490621915104</v>
      </c>
      <c r="C132">
        <f t="shared" si="15"/>
        <v>1.3814459080006205</v>
      </c>
      <c r="D132">
        <f t="shared" si="15"/>
        <v>1.2841662720701374</v>
      </c>
      <c r="E132">
        <f t="shared" si="15"/>
        <v>1.2151097980939161</v>
      </c>
      <c r="F132">
        <f t="shared" si="15"/>
        <v>1.1619148060411779</v>
      </c>
      <c r="G132">
        <f t="shared" si="15"/>
        <v>1.1195183597197682</v>
      </c>
      <c r="H132">
        <f t="shared" si="15"/>
        <v>1.0851368166186022</v>
      </c>
      <c r="I132">
        <f t="shared" si="15"/>
        <v>1.0569777957854303</v>
      </c>
      <c r="J132">
        <f t="shared" si="15"/>
        <v>1.0337649969224516</v>
      </c>
      <c r="K132">
        <f t="shared" si="15"/>
        <v>1.002842670893672</v>
      </c>
      <c r="L132">
        <f t="shared" si="15"/>
        <v>0.90968384021772164</v>
      </c>
      <c r="M132" s="6"/>
    </row>
    <row r="133" spans="1:13" x14ac:dyDescent="0.25">
      <c r="A133">
        <v>7000</v>
      </c>
      <c r="B133">
        <f t="shared" si="15"/>
        <v>1.4203849950641658</v>
      </c>
      <c r="C133">
        <f t="shared" si="15"/>
        <v>1.2026946479861391</v>
      </c>
      <c r="D133">
        <f t="shared" si="15"/>
        <v>1.1180024448285333</v>
      </c>
      <c r="E133">
        <f t="shared" si="15"/>
        <v>1.0578814866505903</v>
      </c>
      <c r="F133">
        <f t="shared" si="15"/>
        <v>1.0115696246580437</v>
      </c>
      <c r="G133">
        <f t="shared" si="15"/>
        <v>0.97465903786699837</v>
      </c>
      <c r="H133">
        <f t="shared" si="15"/>
        <v>0.94472627130857112</v>
      </c>
      <c r="I133">
        <f t="shared" si="15"/>
        <v>0.92021086795296547</v>
      </c>
      <c r="J133">
        <f t="shared" si="15"/>
        <v>0.90000167351719562</v>
      </c>
      <c r="K133">
        <f t="shared" si="15"/>
        <v>0.88325036416517111</v>
      </c>
      <c r="L133">
        <f t="shared" si="15"/>
        <v>0.84734209251618609</v>
      </c>
      <c r="M133" s="6"/>
    </row>
    <row r="134" spans="1:13" x14ac:dyDescent="0.25">
      <c r="A134">
        <v>8000</v>
      </c>
      <c r="B134">
        <f t="shared" si="15"/>
        <v>1.2317374136229022</v>
      </c>
      <c r="C134">
        <f t="shared" si="15"/>
        <v>1.0429594794625605</v>
      </c>
      <c r="D134">
        <f t="shared" si="15"/>
        <v>0.9695156204849722</v>
      </c>
      <c r="E134">
        <f t="shared" si="15"/>
        <v>0.91737959131825708</v>
      </c>
      <c r="F134">
        <f t="shared" si="15"/>
        <v>0.87721861150715774</v>
      </c>
      <c r="G134">
        <f t="shared" si="15"/>
        <v>0.8452102821687788</v>
      </c>
      <c r="H134">
        <f t="shared" si="15"/>
        <v>0.81925301805279882</v>
      </c>
      <c r="I134">
        <f t="shared" si="15"/>
        <v>0.7979936132941674</v>
      </c>
      <c r="J134">
        <f t="shared" si="15"/>
        <v>0.78046849089973303</v>
      </c>
      <c r="K134">
        <f t="shared" si="15"/>
        <v>0.76594199665503149</v>
      </c>
      <c r="L134">
        <f t="shared" si="15"/>
        <v>0.75382329713721619</v>
      </c>
      <c r="M134" s="6"/>
    </row>
    <row r="135" spans="1:13" x14ac:dyDescent="0.25">
      <c r="A135">
        <v>9000</v>
      </c>
      <c r="B135">
        <f t="shared" si="15"/>
        <v>1.0641658440276407</v>
      </c>
      <c r="C135">
        <f t="shared" si="15"/>
        <v>0.90107018141505935</v>
      </c>
      <c r="D135">
        <f t="shared" si="15"/>
        <v>0.83761798347649796</v>
      </c>
      <c r="E135">
        <f t="shared" si="15"/>
        <v>0.79257479418239329</v>
      </c>
      <c r="F135">
        <f t="shared" si="15"/>
        <v>0.75787751008192039</v>
      </c>
      <c r="G135">
        <f t="shared" si="15"/>
        <v>0.73022375009252127</v>
      </c>
      <c r="H135">
        <f t="shared" si="15"/>
        <v>0.7077978388787155</v>
      </c>
      <c r="I135">
        <f t="shared" si="15"/>
        <v>0.68943066730604086</v>
      </c>
      <c r="J135">
        <f t="shared" si="15"/>
        <v>0.67428974809850717</v>
      </c>
      <c r="K135">
        <f t="shared" si="15"/>
        <v>0.66173950903155609</v>
      </c>
      <c r="L135">
        <f t="shared" si="15"/>
        <v>0.65126949654491606</v>
      </c>
      <c r="M135" s="6"/>
    </row>
    <row r="136" spans="1:13" x14ac:dyDescent="0.25">
      <c r="A136">
        <v>10000</v>
      </c>
      <c r="B136">
        <f t="shared" si="15"/>
        <v>0.91559723593287279</v>
      </c>
      <c r="C136">
        <f t="shared" si="15"/>
        <v>0.77527142232139845</v>
      </c>
      <c r="D136">
        <f t="shared" si="15"/>
        <v>0.72067781045867518</v>
      </c>
      <c r="E136">
        <f t="shared" si="15"/>
        <v>0.681923118371215</v>
      </c>
      <c r="F136">
        <f t="shared" si="15"/>
        <v>0.65206993562243143</v>
      </c>
      <c r="G136">
        <f t="shared" si="15"/>
        <v>0.62827692783934475</v>
      </c>
      <c r="H136">
        <f t="shared" si="15"/>
        <v>0.60898190682746622</v>
      </c>
      <c r="I136">
        <f t="shared" si="15"/>
        <v>0.59317898323409368</v>
      </c>
      <c r="J136">
        <f t="shared" si="15"/>
        <v>0.58015189365618325</v>
      </c>
      <c r="K136">
        <f t="shared" si="15"/>
        <v>0.56935379835507272</v>
      </c>
      <c r="L136">
        <f t="shared" si="15"/>
        <v>0.56034550839091812</v>
      </c>
      <c r="M136" s="6"/>
    </row>
  </sheetData>
  <mergeCells count="10">
    <mergeCell ref="B19:L19"/>
    <mergeCell ref="M21:M31"/>
    <mergeCell ref="B34:L34"/>
    <mergeCell ref="M36:M46"/>
    <mergeCell ref="M51:M61"/>
    <mergeCell ref="M96:M106"/>
    <mergeCell ref="M111:M121"/>
    <mergeCell ref="M126:M136"/>
    <mergeCell ref="M66:M76"/>
    <mergeCell ref="M81:M91"/>
  </mergeCells>
  <conditionalFormatting sqref="B51:L61">
    <cfRule type="cellIs" dxfId="14" priority="3" operator="lessThan">
      <formula>0</formula>
    </cfRule>
  </conditionalFormatting>
  <conditionalFormatting sqref="B66:L76">
    <cfRule type="cellIs" dxfId="13" priority="2" operator="lessThan">
      <formula>0</formula>
    </cfRule>
  </conditionalFormatting>
  <conditionalFormatting sqref="B81:L91">
    <cfRule type="cellIs" dxfId="12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4116-58B0-4679-9ADB-2999304A2C7D}">
  <dimension ref="A1:X129"/>
  <sheetViews>
    <sheetView tabSelected="1" topLeftCell="A7" workbookViewId="0">
      <selection activeCell="T25" sqref="T25"/>
    </sheetView>
  </sheetViews>
  <sheetFormatPr defaultRowHeight="15" x14ac:dyDescent="0.25"/>
  <cols>
    <col min="5" max="5" width="12" bestFit="1" customWidth="1"/>
  </cols>
  <sheetData>
    <row r="1" spans="1:24" x14ac:dyDescent="0.25">
      <c r="A1" t="s">
        <v>38</v>
      </c>
      <c r="B1" t="s">
        <v>47</v>
      </c>
      <c r="D1" t="s">
        <v>52</v>
      </c>
      <c r="E1" s="5" t="s">
        <v>0</v>
      </c>
      <c r="F1" s="5"/>
      <c r="G1" s="5"/>
      <c r="H1" s="5"/>
      <c r="I1" s="5"/>
      <c r="J1" s="5"/>
      <c r="K1" s="5"/>
      <c r="L1" s="5"/>
      <c r="M1" s="5"/>
      <c r="N1" s="5"/>
      <c r="O1" s="5"/>
      <c r="R1" t="s">
        <v>0</v>
      </c>
      <c r="S1" t="s">
        <v>44</v>
      </c>
      <c r="U1" t="s">
        <v>41</v>
      </c>
      <c r="V1" t="s">
        <v>40</v>
      </c>
      <c r="W1" t="s">
        <v>42</v>
      </c>
      <c r="X1" t="s">
        <v>43</v>
      </c>
    </row>
    <row r="2" spans="1:24" x14ac:dyDescent="0.25">
      <c r="A2">
        <v>0.5</v>
      </c>
      <c r="B2">
        <f>65000*9.81*0.9</f>
        <v>573885</v>
      </c>
      <c r="D2" t="s">
        <v>44</v>
      </c>
      <c r="E2">
        <v>1E-3</v>
      </c>
      <c r="F2">
        <v>0.1</v>
      </c>
      <c r="G2">
        <v>0.2</v>
      </c>
      <c r="H2">
        <v>0.3</v>
      </c>
      <c r="I2">
        <v>0.4</v>
      </c>
      <c r="J2">
        <v>0.5</v>
      </c>
      <c r="K2">
        <v>0.6</v>
      </c>
      <c r="L2">
        <v>0.7</v>
      </c>
      <c r="M2">
        <v>0.8</v>
      </c>
      <c r="N2">
        <v>0.9</v>
      </c>
      <c r="O2">
        <v>1</v>
      </c>
      <c r="R2">
        <v>0</v>
      </c>
      <c r="S2">
        <v>340.3</v>
      </c>
      <c r="U2">
        <v>0</v>
      </c>
      <c r="V2">
        <v>288.14999999999998</v>
      </c>
      <c r="W2">
        <v>9.8070000000000004</v>
      </c>
      <c r="X2">
        <v>1.2250000000000001</v>
      </c>
    </row>
    <row r="3" spans="1:24" x14ac:dyDescent="0.25">
      <c r="A3" t="s">
        <v>49</v>
      </c>
      <c r="B3" t="s">
        <v>36</v>
      </c>
      <c r="C3" t="s">
        <v>37</v>
      </c>
      <c r="D3">
        <v>340.3</v>
      </c>
      <c r="E3">
        <f>$D3*E$2</f>
        <v>0.34029999999999999</v>
      </c>
      <c r="F3">
        <f t="shared" ref="F3:O13" si="0">$D3*F$2</f>
        <v>34.03</v>
      </c>
      <c r="G3">
        <f>$D3*G$2</f>
        <v>68.06</v>
      </c>
      <c r="H3">
        <f t="shared" si="0"/>
        <v>102.09</v>
      </c>
      <c r="I3">
        <f t="shared" si="0"/>
        <v>136.12</v>
      </c>
      <c r="J3">
        <f t="shared" si="0"/>
        <v>170.15</v>
      </c>
      <c r="K3">
        <f t="shared" si="0"/>
        <v>204.18</v>
      </c>
      <c r="L3">
        <f t="shared" si="0"/>
        <v>238.20999999999998</v>
      </c>
      <c r="M3">
        <f t="shared" si="0"/>
        <v>272.24</v>
      </c>
      <c r="N3">
        <f t="shared" si="0"/>
        <v>306.27000000000004</v>
      </c>
      <c r="O3">
        <f t="shared" si="0"/>
        <v>340.3</v>
      </c>
      <c r="P3" s="6" t="s">
        <v>41</v>
      </c>
      <c r="R3">
        <v>0.1</v>
      </c>
      <c r="S3">
        <v>336.4</v>
      </c>
      <c r="U3">
        <v>1000</v>
      </c>
      <c r="V3">
        <v>281.7</v>
      </c>
      <c r="W3">
        <v>0.90749999999999997</v>
      </c>
      <c r="X3">
        <v>1.1120000000000001</v>
      </c>
    </row>
    <row r="4" spans="1:24" x14ac:dyDescent="0.25">
      <c r="A4">
        <f>'A320 Wing'!B3</f>
        <v>124.02</v>
      </c>
      <c r="B4">
        <f>'A320 Wing'!A50</f>
        <v>2.7E-2</v>
      </c>
      <c r="C4">
        <f>'A320 Wing'!B50</f>
        <v>3.9430144646191496E-2</v>
      </c>
      <c r="D4">
        <v>336.4</v>
      </c>
      <c r="E4">
        <f t="shared" ref="E4:E13" si="1">$D4*E$2</f>
        <v>0.33639999999999998</v>
      </c>
      <c r="F4">
        <f t="shared" si="0"/>
        <v>33.64</v>
      </c>
      <c r="G4">
        <f t="shared" si="0"/>
        <v>67.28</v>
      </c>
      <c r="H4">
        <f t="shared" si="0"/>
        <v>100.91999999999999</v>
      </c>
      <c r="I4">
        <f t="shared" si="0"/>
        <v>134.56</v>
      </c>
      <c r="J4">
        <f t="shared" si="0"/>
        <v>168.2</v>
      </c>
      <c r="K4">
        <f t="shared" si="0"/>
        <v>201.83999999999997</v>
      </c>
      <c r="L4">
        <f t="shared" si="0"/>
        <v>235.47999999999996</v>
      </c>
      <c r="M4">
        <f t="shared" si="0"/>
        <v>269.12</v>
      </c>
      <c r="N4">
        <f t="shared" si="0"/>
        <v>302.76</v>
      </c>
      <c r="O4">
        <f t="shared" si="0"/>
        <v>336.4</v>
      </c>
      <c r="P4" s="6"/>
      <c r="R4">
        <v>0.2</v>
      </c>
      <c r="S4">
        <v>332.5</v>
      </c>
      <c r="U4">
        <v>2000</v>
      </c>
      <c r="V4">
        <v>275.2</v>
      </c>
      <c r="W4">
        <v>0.82169999999999999</v>
      </c>
      <c r="X4">
        <v>1.0069999999999999</v>
      </c>
    </row>
    <row r="5" spans="1:24" x14ac:dyDescent="0.25">
      <c r="C5" t="s">
        <v>37</v>
      </c>
      <c r="D5">
        <v>332.5</v>
      </c>
      <c r="E5">
        <f t="shared" si="1"/>
        <v>0.33250000000000002</v>
      </c>
      <c r="F5">
        <f t="shared" si="0"/>
        <v>33.25</v>
      </c>
      <c r="G5">
        <f t="shared" si="0"/>
        <v>66.5</v>
      </c>
      <c r="H5">
        <f t="shared" si="0"/>
        <v>99.75</v>
      </c>
      <c r="I5">
        <f t="shared" si="0"/>
        <v>133</v>
      </c>
      <c r="J5">
        <f t="shared" si="0"/>
        <v>166.25</v>
      </c>
      <c r="K5">
        <f t="shared" si="0"/>
        <v>199.5</v>
      </c>
      <c r="L5">
        <f t="shared" si="0"/>
        <v>232.74999999999997</v>
      </c>
      <c r="M5">
        <f t="shared" si="0"/>
        <v>266</v>
      </c>
      <c r="N5">
        <f t="shared" si="0"/>
        <v>299.25</v>
      </c>
      <c r="O5">
        <f t="shared" si="0"/>
        <v>332.5</v>
      </c>
      <c r="P5" s="6"/>
      <c r="R5">
        <v>0.3</v>
      </c>
      <c r="S5">
        <v>328.6</v>
      </c>
      <c r="U5">
        <v>3000</v>
      </c>
      <c r="V5">
        <v>268.7</v>
      </c>
      <c r="W5">
        <v>0.74229999999999996</v>
      </c>
      <c r="X5">
        <v>0.9093</v>
      </c>
    </row>
    <row r="6" spans="1:24" x14ac:dyDescent="0.25">
      <c r="A6" t="s">
        <v>50</v>
      </c>
      <c r="C6">
        <f>0.075</f>
        <v>7.4999999999999997E-2</v>
      </c>
      <c r="D6">
        <v>328.6</v>
      </c>
      <c r="E6">
        <f t="shared" si="1"/>
        <v>0.3286</v>
      </c>
      <c r="F6">
        <f t="shared" si="0"/>
        <v>32.860000000000007</v>
      </c>
      <c r="G6">
        <f t="shared" si="0"/>
        <v>65.720000000000013</v>
      </c>
      <c r="H6">
        <f t="shared" si="0"/>
        <v>98.58</v>
      </c>
      <c r="I6">
        <f t="shared" si="0"/>
        <v>131.44000000000003</v>
      </c>
      <c r="J6">
        <f t="shared" si="0"/>
        <v>164.3</v>
      </c>
      <c r="K6">
        <f t="shared" si="0"/>
        <v>197.16</v>
      </c>
      <c r="L6">
        <f t="shared" si="0"/>
        <v>230.02</v>
      </c>
      <c r="M6">
        <f t="shared" si="0"/>
        <v>262.88000000000005</v>
      </c>
      <c r="N6">
        <f t="shared" si="0"/>
        <v>295.74</v>
      </c>
      <c r="O6">
        <f t="shared" si="0"/>
        <v>328.6</v>
      </c>
      <c r="P6" s="6"/>
      <c r="R6">
        <v>0.4</v>
      </c>
      <c r="S6">
        <v>324.60000000000002</v>
      </c>
      <c r="U6">
        <v>4000</v>
      </c>
      <c r="V6">
        <v>262.2</v>
      </c>
      <c r="W6">
        <v>0.66890000000000005</v>
      </c>
      <c r="X6">
        <v>0.81940000000000002</v>
      </c>
    </row>
    <row r="7" spans="1:24" x14ac:dyDescent="0.25">
      <c r="A7">
        <f>'Engine Deck'!I2*1</f>
        <v>105000</v>
      </c>
      <c r="D7">
        <v>324.60000000000002</v>
      </c>
      <c r="E7">
        <f t="shared" si="1"/>
        <v>0.32460000000000006</v>
      </c>
      <c r="F7">
        <f t="shared" si="0"/>
        <v>32.46</v>
      </c>
      <c r="G7">
        <f t="shared" si="0"/>
        <v>64.92</v>
      </c>
      <c r="H7">
        <f t="shared" si="0"/>
        <v>97.38000000000001</v>
      </c>
      <c r="I7">
        <f t="shared" si="0"/>
        <v>129.84</v>
      </c>
      <c r="J7">
        <f t="shared" si="0"/>
        <v>162.30000000000001</v>
      </c>
      <c r="K7">
        <f t="shared" si="0"/>
        <v>194.76000000000002</v>
      </c>
      <c r="L7">
        <f t="shared" si="0"/>
        <v>227.22</v>
      </c>
      <c r="M7">
        <f t="shared" si="0"/>
        <v>259.68</v>
      </c>
      <c r="N7">
        <f t="shared" si="0"/>
        <v>292.14000000000004</v>
      </c>
      <c r="O7">
        <f t="shared" si="0"/>
        <v>324.60000000000002</v>
      </c>
      <c r="P7" s="6"/>
      <c r="R7">
        <v>0.5</v>
      </c>
      <c r="S7">
        <v>320.5</v>
      </c>
      <c r="U7">
        <v>5000</v>
      </c>
      <c r="V7">
        <v>255.7</v>
      </c>
      <c r="W7">
        <v>0.60119999999999996</v>
      </c>
      <c r="X7">
        <v>0.73640000000000005</v>
      </c>
    </row>
    <row r="8" spans="1:24" x14ac:dyDescent="0.25">
      <c r="D8">
        <v>320.5</v>
      </c>
      <c r="E8">
        <f t="shared" si="1"/>
        <v>0.32050000000000001</v>
      </c>
      <c r="F8">
        <f t="shared" si="0"/>
        <v>32.050000000000004</v>
      </c>
      <c r="G8">
        <f t="shared" si="0"/>
        <v>64.100000000000009</v>
      </c>
      <c r="H8">
        <f t="shared" si="0"/>
        <v>96.149999999999991</v>
      </c>
      <c r="I8">
        <f t="shared" si="0"/>
        <v>128.20000000000002</v>
      </c>
      <c r="J8">
        <f t="shared" si="0"/>
        <v>160.25</v>
      </c>
      <c r="K8">
        <f t="shared" si="0"/>
        <v>192.29999999999998</v>
      </c>
      <c r="L8">
        <f t="shared" si="0"/>
        <v>224.35</v>
      </c>
      <c r="M8">
        <f t="shared" si="0"/>
        <v>256.40000000000003</v>
      </c>
      <c r="N8">
        <f t="shared" si="0"/>
        <v>288.45</v>
      </c>
      <c r="O8">
        <f t="shared" si="0"/>
        <v>320.5</v>
      </c>
      <c r="P8" s="6"/>
      <c r="R8">
        <v>0.6</v>
      </c>
      <c r="S8">
        <v>316.5</v>
      </c>
      <c r="U8">
        <v>6000</v>
      </c>
      <c r="V8">
        <v>249.2</v>
      </c>
      <c r="W8">
        <v>0.53890000000000005</v>
      </c>
      <c r="X8">
        <v>0.66010000000000002</v>
      </c>
    </row>
    <row r="9" spans="1:24" x14ac:dyDescent="0.25">
      <c r="A9" t="s">
        <v>53</v>
      </c>
      <c r="D9">
        <v>316.5</v>
      </c>
      <c r="E9">
        <f t="shared" si="1"/>
        <v>0.3165</v>
      </c>
      <c r="F9">
        <f t="shared" si="0"/>
        <v>31.650000000000002</v>
      </c>
      <c r="G9">
        <f t="shared" si="0"/>
        <v>63.300000000000004</v>
      </c>
      <c r="H9">
        <f t="shared" si="0"/>
        <v>94.95</v>
      </c>
      <c r="I9">
        <f t="shared" si="0"/>
        <v>126.60000000000001</v>
      </c>
      <c r="J9">
        <f t="shared" si="0"/>
        <v>158.25</v>
      </c>
      <c r="K9">
        <f t="shared" si="0"/>
        <v>189.9</v>
      </c>
      <c r="L9">
        <f t="shared" si="0"/>
        <v>221.54999999999998</v>
      </c>
      <c r="M9">
        <f t="shared" si="0"/>
        <v>253.20000000000002</v>
      </c>
      <c r="N9">
        <f t="shared" si="0"/>
        <v>284.85000000000002</v>
      </c>
      <c r="O9">
        <f t="shared" si="0"/>
        <v>316.5</v>
      </c>
      <c r="P9" s="6"/>
      <c r="R9">
        <v>0.7</v>
      </c>
      <c r="S9">
        <v>312.3</v>
      </c>
      <c r="U9">
        <v>7000</v>
      </c>
      <c r="V9">
        <v>242.7</v>
      </c>
      <c r="W9">
        <v>0.48170000000000002</v>
      </c>
      <c r="X9">
        <v>0.59</v>
      </c>
    </row>
    <row r="10" spans="1:24" x14ac:dyDescent="0.25">
      <c r="A10">
        <v>2.1</v>
      </c>
      <c r="D10">
        <v>312.3</v>
      </c>
      <c r="E10">
        <f t="shared" si="1"/>
        <v>0.31230000000000002</v>
      </c>
      <c r="F10">
        <f t="shared" si="0"/>
        <v>31.230000000000004</v>
      </c>
      <c r="G10">
        <f t="shared" si="0"/>
        <v>62.460000000000008</v>
      </c>
      <c r="H10">
        <f t="shared" si="0"/>
        <v>93.69</v>
      </c>
      <c r="I10">
        <f t="shared" si="0"/>
        <v>124.92000000000002</v>
      </c>
      <c r="J10">
        <f t="shared" si="0"/>
        <v>156.15</v>
      </c>
      <c r="K10">
        <f t="shared" si="0"/>
        <v>187.38</v>
      </c>
      <c r="L10">
        <f t="shared" si="0"/>
        <v>218.60999999999999</v>
      </c>
      <c r="M10">
        <f t="shared" si="0"/>
        <v>249.84000000000003</v>
      </c>
      <c r="N10">
        <f t="shared" si="0"/>
        <v>281.07</v>
      </c>
      <c r="O10">
        <f t="shared" si="0"/>
        <v>312.3</v>
      </c>
      <c r="P10" s="6"/>
      <c r="R10">
        <v>0.8</v>
      </c>
      <c r="S10">
        <v>308.10000000000002</v>
      </c>
      <c r="U10">
        <v>8000</v>
      </c>
      <c r="V10">
        <v>236.2</v>
      </c>
      <c r="W10">
        <v>0.42920000000000003</v>
      </c>
      <c r="X10">
        <v>0.52580000000000005</v>
      </c>
    </row>
    <row r="11" spans="1:24" x14ac:dyDescent="0.25">
      <c r="D11">
        <v>308.10000000000002</v>
      </c>
      <c r="E11">
        <f t="shared" si="1"/>
        <v>0.30810000000000004</v>
      </c>
      <c r="F11">
        <f t="shared" si="0"/>
        <v>30.810000000000002</v>
      </c>
      <c r="G11">
        <f t="shared" si="0"/>
        <v>61.620000000000005</v>
      </c>
      <c r="H11">
        <f>$D11*H$2</f>
        <v>92.43</v>
      </c>
      <c r="I11">
        <f t="shared" si="0"/>
        <v>123.24000000000001</v>
      </c>
      <c r="J11">
        <f t="shared" si="0"/>
        <v>154.05000000000001</v>
      </c>
      <c r="K11">
        <f t="shared" si="0"/>
        <v>184.86</v>
      </c>
      <c r="L11">
        <f t="shared" si="0"/>
        <v>215.67000000000002</v>
      </c>
      <c r="M11">
        <f t="shared" si="0"/>
        <v>246.48000000000002</v>
      </c>
      <c r="N11">
        <f t="shared" si="0"/>
        <v>277.29000000000002</v>
      </c>
      <c r="O11">
        <f t="shared" si="0"/>
        <v>308.10000000000002</v>
      </c>
      <c r="P11" s="6"/>
      <c r="R11">
        <v>0.9</v>
      </c>
      <c r="S11">
        <v>303.8</v>
      </c>
      <c r="U11">
        <v>9000</v>
      </c>
      <c r="V11">
        <v>229.7</v>
      </c>
      <c r="W11">
        <v>0.38129999999999997</v>
      </c>
      <c r="X11">
        <v>0.46710000000000002</v>
      </c>
    </row>
    <row r="12" spans="1:24" x14ac:dyDescent="0.25">
      <c r="D12">
        <v>303.8</v>
      </c>
      <c r="E12">
        <f t="shared" si="1"/>
        <v>0.30380000000000001</v>
      </c>
      <c r="F12">
        <f t="shared" si="0"/>
        <v>30.380000000000003</v>
      </c>
      <c r="G12">
        <f t="shared" si="0"/>
        <v>60.760000000000005</v>
      </c>
      <c r="H12">
        <f t="shared" si="0"/>
        <v>91.14</v>
      </c>
      <c r="I12">
        <f t="shared" si="0"/>
        <v>121.52000000000001</v>
      </c>
      <c r="J12">
        <f t="shared" si="0"/>
        <v>151.9</v>
      </c>
      <c r="K12">
        <f t="shared" si="0"/>
        <v>182.28</v>
      </c>
      <c r="L12">
        <f t="shared" si="0"/>
        <v>212.66</v>
      </c>
      <c r="M12">
        <f t="shared" si="0"/>
        <v>243.04000000000002</v>
      </c>
      <c r="N12">
        <f t="shared" si="0"/>
        <v>273.42</v>
      </c>
      <c r="O12">
        <f t="shared" si="0"/>
        <v>303.8</v>
      </c>
      <c r="P12" s="6"/>
      <c r="R12">
        <v>1</v>
      </c>
      <c r="S12">
        <v>299.5</v>
      </c>
      <c r="U12">
        <v>10000</v>
      </c>
      <c r="V12">
        <v>223.3</v>
      </c>
      <c r="W12">
        <v>0.33760000000000001</v>
      </c>
      <c r="X12">
        <v>0.41349999999999998</v>
      </c>
    </row>
    <row r="13" spans="1:24" x14ac:dyDescent="0.25">
      <c r="D13">
        <v>299.5</v>
      </c>
      <c r="E13">
        <f t="shared" si="1"/>
        <v>0.29949999999999999</v>
      </c>
      <c r="F13">
        <f t="shared" si="0"/>
        <v>29.950000000000003</v>
      </c>
      <c r="G13">
        <f t="shared" si="0"/>
        <v>59.900000000000006</v>
      </c>
      <c r="H13">
        <f t="shared" si="0"/>
        <v>89.85</v>
      </c>
      <c r="I13">
        <f t="shared" si="0"/>
        <v>119.80000000000001</v>
      </c>
      <c r="J13">
        <f t="shared" si="0"/>
        <v>149.75</v>
      </c>
      <c r="K13">
        <f t="shared" si="0"/>
        <v>179.7</v>
      </c>
      <c r="L13">
        <f t="shared" si="0"/>
        <v>209.64999999999998</v>
      </c>
      <c r="M13">
        <f t="shared" si="0"/>
        <v>239.60000000000002</v>
      </c>
      <c r="N13">
        <f t="shared" si="0"/>
        <v>269.55</v>
      </c>
      <c r="O13">
        <f t="shared" si="0"/>
        <v>299.5</v>
      </c>
      <c r="P13" s="6"/>
    </row>
    <row r="14" spans="1:24" x14ac:dyDescent="0.25">
      <c r="C14" t="s">
        <v>48</v>
      </c>
      <c r="D14" t="s">
        <v>0</v>
      </c>
      <c r="E14">
        <v>0.05</v>
      </c>
      <c r="F14">
        <v>0.1</v>
      </c>
      <c r="G14">
        <v>0.2</v>
      </c>
      <c r="H14">
        <v>0.3</v>
      </c>
      <c r="I14">
        <v>0.4</v>
      </c>
      <c r="J14">
        <v>0.5</v>
      </c>
      <c r="K14">
        <v>0.6</v>
      </c>
      <c r="L14">
        <v>0.7</v>
      </c>
      <c r="M14">
        <v>0.8</v>
      </c>
      <c r="N14">
        <v>0.9</v>
      </c>
      <c r="O14">
        <v>1</v>
      </c>
    </row>
    <row r="15" spans="1:24" x14ac:dyDescent="0.25">
      <c r="C15" t="s">
        <v>1</v>
      </c>
      <c r="D15" t="s">
        <v>44</v>
      </c>
      <c r="E15">
        <v>340.3</v>
      </c>
      <c r="F15">
        <v>336.4</v>
      </c>
      <c r="G15">
        <v>332.5</v>
      </c>
      <c r="H15">
        <v>328.6</v>
      </c>
      <c r="I15">
        <v>324.60000000000002</v>
      </c>
      <c r="J15">
        <v>320.5</v>
      </c>
      <c r="K15">
        <v>316.5</v>
      </c>
      <c r="L15">
        <v>312.3</v>
      </c>
      <c r="M15">
        <v>308.10000000000002</v>
      </c>
      <c r="N15">
        <v>303.8</v>
      </c>
      <c r="O15">
        <v>299.5</v>
      </c>
    </row>
    <row r="16" spans="1:24" x14ac:dyDescent="0.25">
      <c r="C16">
        <v>1.2250000000000001</v>
      </c>
      <c r="D16">
        <v>0</v>
      </c>
      <c r="E16" s="8">
        <f>$B$2/(1/2*$C16*(E3+0.001)^2*$A$4)</f>
        <v>64856.644666016706</v>
      </c>
      <c r="F16" s="8">
        <f>$B$2/(1/2*$C16*(F3+0.001)^2*$A$4)</f>
        <v>6.5234544066409104</v>
      </c>
      <c r="G16" s="8">
        <f t="shared" ref="G16:O16" si="2">$B$2/(1/2*$C16*(G3+0.001)^2*$A$4)</f>
        <v>1.630911525598534</v>
      </c>
      <c r="H16" s="8">
        <f t="shared" si="2"/>
        <v>0.72485666698402762</v>
      </c>
      <c r="I16" s="8">
        <f t="shared" si="2"/>
        <v>0.40773387208996148</v>
      </c>
      <c r="J16" s="8">
        <f t="shared" si="2"/>
        <v>0.26095044495607733</v>
      </c>
      <c r="K16" s="8">
        <f t="shared" si="2"/>
        <v>0.18121594178492342</v>
      </c>
      <c r="L16" s="8">
        <f t="shared" si="2"/>
        <v>0.13313842924705019</v>
      </c>
      <c r="M16" s="8">
        <f t="shared" si="2"/>
        <v>0.10193421687115931</v>
      </c>
      <c r="N16" s="8">
        <f t="shared" si="2"/>
        <v>8.0540681542381296E-2</v>
      </c>
      <c r="O16" s="8">
        <f t="shared" si="2"/>
        <v>6.5237994650805334E-2</v>
      </c>
      <c r="P16" s="6" t="s">
        <v>41</v>
      </c>
    </row>
    <row r="17" spans="3:16" x14ac:dyDescent="0.25">
      <c r="C17">
        <v>1.1120000000000001</v>
      </c>
      <c r="D17">
        <v>1000</v>
      </c>
      <c r="E17" s="8">
        <f t="shared" ref="E17:O26" si="3">$B$2/(1/2*$C17*(E4+0.001)^2*$A$4)</f>
        <v>73108.554707098621</v>
      </c>
      <c r="F17" s="8">
        <f t="shared" si="3"/>
        <v>7.353948105726162</v>
      </c>
      <c r="G17" s="8">
        <f t="shared" si="3"/>
        <v>1.8385416778394914</v>
      </c>
      <c r="H17" s="8">
        <f t="shared" si="3"/>
        <v>0.81713773134089085</v>
      </c>
      <c r="I17" s="8">
        <f t="shared" si="3"/>
        <v>0.45964225111432494</v>
      </c>
      <c r="J17" s="8">
        <f t="shared" si="3"/>
        <v>0.29417191517663532</v>
      </c>
      <c r="K17" s="8">
        <f t="shared" si="3"/>
        <v>0.20428645705169896</v>
      </c>
      <c r="L17" s="8">
        <f t="shared" si="3"/>
        <v>0.15008822171848454</v>
      </c>
      <c r="M17" s="8">
        <f t="shared" si="3"/>
        <v>0.11491141674966693</v>
      </c>
      <c r="N17" s="8">
        <f t="shared" si="3"/>
        <v>9.0794280798760091E-2</v>
      </c>
      <c r="O17" s="8">
        <f t="shared" si="3"/>
        <v>7.3543416028816894E-2</v>
      </c>
      <c r="P17" s="6"/>
    </row>
    <row r="18" spans="3:16" x14ac:dyDescent="0.25">
      <c r="C18">
        <v>1.0069999999999999</v>
      </c>
      <c r="D18">
        <v>2000</v>
      </c>
      <c r="E18" s="8">
        <f t="shared" si="3"/>
        <v>82630.807154992959</v>
      </c>
      <c r="F18" s="8">
        <f t="shared" si="3"/>
        <v>8.312358198620025</v>
      </c>
      <c r="G18" s="8">
        <f t="shared" si="3"/>
        <v>2.0781520481189131</v>
      </c>
      <c r="H18" s="8">
        <f t="shared" si="3"/>
        <v>0.92363239180745005</v>
      </c>
      <c r="I18" s="8">
        <f t="shared" si="3"/>
        <v>0.51954582460204224</v>
      </c>
      <c r="J18" s="8">
        <f t="shared" si="3"/>
        <v>0.33251032776809708</v>
      </c>
      <c r="K18" s="8">
        <f t="shared" si="3"/>
        <v>0.23091041281421074</v>
      </c>
      <c r="L18" s="8">
        <f t="shared" si="3"/>
        <v>0.16964870951878061</v>
      </c>
      <c r="M18" s="8">
        <f t="shared" si="3"/>
        <v>0.12988743273857076</v>
      </c>
      <c r="N18" s="8">
        <f t="shared" si="3"/>
        <v>0.10262719308565738</v>
      </c>
      <c r="O18" s="8">
        <f t="shared" si="3"/>
        <v>8.3128081956802879E-2</v>
      </c>
      <c r="P18" s="6"/>
    </row>
    <row r="19" spans="3:16" x14ac:dyDescent="0.25">
      <c r="C19">
        <v>0.9093</v>
      </c>
      <c r="D19">
        <v>3000</v>
      </c>
      <c r="E19" s="8">
        <f t="shared" si="3"/>
        <v>93687.477302743413</v>
      </c>
      <c r="F19" s="8">
        <f t="shared" si="3"/>
        <v>9.4252830255651059</v>
      </c>
      <c r="G19" s="8">
        <f t="shared" si="3"/>
        <v>2.3563924637202289</v>
      </c>
      <c r="H19" s="8">
        <f t="shared" si="3"/>
        <v>1.0472961630624946</v>
      </c>
      <c r="I19" s="8">
        <f t="shared" si="3"/>
        <v>0.58910707965304876</v>
      </c>
      <c r="J19" s="8">
        <f t="shared" si="3"/>
        <v>0.37702967835020651</v>
      </c>
      <c r="K19" s="8">
        <f t="shared" si="3"/>
        <v>0.26182669671385639</v>
      </c>
      <c r="L19" s="8">
        <f t="shared" si="3"/>
        <v>0.192362749815917</v>
      </c>
      <c r="M19" s="8">
        <f t="shared" si="3"/>
        <v>0.14727789039781633</v>
      </c>
      <c r="N19" s="8">
        <f t="shared" si="3"/>
        <v>0.11636781423951761</v>
      </c>
      <c r="O19" s="8">
        <f t="shared" si="3"/>
        <v>9.4257993277607435E-2</v>
      </c>
      <c r="P19" s="6"/>
    </row>
    <row r="20" spans="3:16" x14ac:dyDescent="0.25">
      <c r="C20">
        <v>0.81940000000000002</v>
      </c>
      <c r="D20">
        <v>4000</v>
      </c>
      <c r="E20" s="8">
        <f t="shared" si="3"/>
        <v>106536.49143362461</v>
      </c>
      <c r="F20" s="8">
        <f t="shared" si="3"/>
        <v>10.718731525395373</v>
      </c>
      <c r="G20" s="8">
        <f t="shared" si="3"/>
        <v>2.6797654340981647</v>
      </c>
      <c r="H20" s="8">
        <f t="shared" si="3"/>
        <v>1.191019090012891</v>
      </c>
      <c r="I20" s="8">
        <f t="shared" si="3"/>
        <v>0.66995167797584509</v>
      </c>
      <c r="J20" s="8">
        <f t="shared" si="3"/>
        <v>0.42877039481261942</v>
      </c>
      <c r="K20" s="8">
        <f t="shared" si="3"/>
        <v>0.2977578301537474</v>
      </c>
      <c r="L20" s="8">
        <f t="shared" si="3"/>
        <v>0.21876117572924822</v>
      </c>
      <c r="M20" s="8">
        <f t="shared" si="3"/>
        <v>0.16748920944772755</v>
      </c>
      <c r="N20" s="8">
        <f t="shared" si="3"/>
        <v>0.13233726639158017</v>
      </c>
      <c r="O20" s="8">
        <f t="shared" si="3"/>
        <v>0.10719325916177219</v>
      </c>
      <c r="P20" s="6"/>
    </row>
    <row r="21" spans="3:16" x14ac:dyDescent="0.25">
      <c r="C21">
        <v>0.73640000000000005</v>
      </c>
      <c r="D21">
        <v>5000</v>
      </c>
      <c r="E21" s="8">
        <f t="shared" si="3"/>
        <v>121587.07413929625</v>
      </c>
      <c r="F21" s="8">
        <f t="shared" si="3"/>
        <v>12.23393571028255</v>
      </c>
      <c r="G21" s="8">
        <f t="shared" si="3"/>
        <v>3.0585793553419443</v>
      </c>
      <c r="H21" s="8">
        <f t="shared" si="3"/>
        <v>1.3593827402629031</v>
      </c>
      <c r="I21" s="8">
        <f t="shared" si="3"/>
        <v>0.76465676772560476</v>
      </c>
      <c r="J21" s="8">
        <f t="shared" si="3"/>
        <v>0.48938185826376079</v>
      </c>
      <c r="K21" s="8">
        <f t="shared" si="3"/>
        <v>0.33984921959304171</v>
      </c>
      <c r="L21" s="8">
        <f t="shared" si="3"/>
        <v>0.24968551189960403</v>
      </c>
      <c r="M21" s="8">
        <f t="shared" si="3"/>
        <v>0.19116568306883608</v>
      </c>
      <c r="N21" s="8">
        <f t="shared" si="3"/>
        <v>0.15104462123602988</v>
      </c>
      <c r="O21" s="8">
        <f t="shared" si="3"/>
        <v>0.1223462280309867</v>
      </c>
      <c r="P21" s="6"/>
    </row>
    <row r="22" spans="3:16" x14ac:dyDescent="0.25">
      <c r="C22">
        <v>0.66010000000000002</v>
      </c>
      <c r="D22">
        <v>6000</v>
      </c>
      <c r="E22" s="8">
        <f t="shared" si="3"/>
        <v>139080.40610026105</v>
      </c>
      <c r="F22" s="8">
        <f t="shared" si="3"/>
        <v>13.99518157818693</v>
      </c>
      <c r="G22" s="8">
        <f t="shared" si="3"/>
        <v>3.4989059401315017</v>
      </c>
      <c r="H22" s="8">
        <f t="shared" si="3"/>
        <v>1.5550856843662226</v>
      </c>
      <c r="I22" s="8">
        <f t="shared" si="3"/>
        <v>0.87474030372213829</v>
      </c>
      <c r="J22" s="8">
        <f t="shared" si="3"/>
        <v>0.55983556319954297</v>
      </c>
      <c r="K22" s="8">
        <f t="shared" si="3"/>
        <v>0.38877551556651591</v>
      </c>
      <c r="L22" s="8">
        <f t="shared" si="3"/>
        <v>0.28563142077315223</v>
      </c>
      <c r="M22" s="8">
        <f t="shared" si="3"/>
        <v>0.21868680329739151</v>
      </c>
      <c r="N22" s="8">
        <f t="shared" si="3"/>
        <v>0.17278972462483411</v>
      </c>
      <c r="O22" s="8">
        <f t="shared" si="3"/>
        <v>0.13995977521486011</v>
      </c>
      <c r="P22" s="6"/>
    </row>
    <row r="23" spans="3:16" x14ac:dyDescent="0.25">
      <c r="C23">
        <v>0.59</v>
      </c>
      <c r="D23">
        <v>7000</v>
      </c>
      <c r="E23" s="8">
        <f t="shared" si="3"/>
        <v>159804.99163094533</v>
      </c>
      <c r="F23" s="8">
        <f t="shared" si="3"/>
        <v>16.081973783803235</v>
      </c>
      <c r="G23" s="8">
        <f t="shared" si="3"/>
        <v>4.0206221831029518</v>
      </c>
      <c r="H23" s="8">
        <f t="shared" si="3"/>
        <v>1.7869622652715853</v>
      </c>
      <c r="I23" s="8">
        <f t="shared" si="3"/>
        <v>1.0051716384994422</v>
      </c>
      <c r="J23" s="8">
        <f t="shared" si="3"/>
        <v>0.64331190853795828</v>
      </c>
      <c r="K23" s="8">
        <f t="shared" si="3"/>
        <v>0.44674533458958227</v>
      </c>
      <c r="L23" s="8">
        <f t="shared" si="3"/>
        <v>0.32822156261202873</v>
      </c>
      <c r="M23" s="8">
        <f t="shared" si="3"/>
        <v>0.25129492125155539</v>
      </c>
      <c r="N23" s="8">
        <f t="shared" si="3"/>
        <v>0.19855418845797432</v>
      </c>
      <c r="O23" s="8">
        <f t="shared" si="3"/>
        <v>0.16082900709106751</v>
      </c>
      <c r="P23" s="6"/>
    </row>
    <row r="24" spans="3:16" x14ac:dyDescent="0.25">
      <c r="C24">
        <v>0.52580000000000005</v>
      </c>
      <c r="D24">
        <v>8000</v>
      </c>
      <c r="E24" s="8">
        <f t="shared" si="3"/>
        <v>184223.29687993566</v>
      </c>
      <c r="F24" s="8">
        <f t="shared" si="3"/>
        <v>18.540906866072593</v>
      </c>
      <c r="G24" s="8">
        <f t="shared" si="3"/>
        <v>4.6353771608253576</v>
      </c>
      <c r="H24" s="8">
        <f t="shared" si="3"/>
        <v>2.0601899158024031</v>
      </c>
      <c r="I24" s="8">
        <f t="shared" si="3"/>
        <v>1.1588630964314066</v>
      </c>
      <c r="J24" s="8">
        <f t="shared" si="3"/>
        <v>0.74167478894806727</v>
      </c>
      <c r="K24" s="8">
        <f t="shared" si="3"/>
        <v>0.51505305123325673</v>
      </c>
      <c r="L24" s="8">
        <f t="shared" si="3"/>
        <v>0.37840690820646217</v>
      </c>
      <c r="M24" s="8">
        <f t="shared" si="3"/>
        <v>0.2897181249289032</v>
      </c>
      <c r="N24" s="8">
        <f t="shared" si="3"/>
        <v>0.22891329274706848</v>
      </c>
      <c r="O24" s="8">
        <f t="shared" si="3"/>
        <v>0.18541990086179017</v>
      </c>
      <c r="P24" s="6"/>
    </row>
    <row r="25" spans="3:16" x14ac:dyDescent="0.25">
      <c r="C25">
        <v>0.46710000000000002</v>
      </c>
      <c r="D25">
        <v>9000</v>
      </c>
      <c r="E25" s="8">
        <f t="shared" si="3"/>
        <v>213266.84760631106</v>
      </c>
      <c r="F25" s="8">
        <f t="shared" si="3"/>
        <v>21.465902154195017</v>
      </c>
      <c r="G25" s="8">
        <f t="shared" si="3"/>
        <v>5.3666521821095614</v>
      </c>
      <c r="H25" s="8">
        <f t="shared" si="3"/>
        <v>2.3852049178820622</v>
      </c>
      <c r="I25" s="8">
        <f t="shared" si="3"/>
        <v>1.3416851267901482</v>
      </c>
      <c r="J25" s="8">
        <f t="shared" si="3"/>
        <v>0.85868130758919348</v>
      </c>
      <c r="K25" s="8">
        <f t="shared" si="3"/>
        <v>0.59630777214764752</v>
      </c>
      <c r="L25" s="8">
        <f t="shared" si="3"/>
        <v>0.43810435603439951</v>
      </c>
      <c r="M25" s="8">
        <f t="shared" si="3"/>
        <v>0.33542404190648739</v>
      </c>
      <c r="N25" s="8">
        <f t="shared" si="3"/>
        <v>0.26502664580620172</v>
      </c>
      <c r="O25" s="8">
        <f t="shared" si="3"/>
        <v>0.21467174012951426</v>
      </c>
      <c r="P25" s="6"/>
    </row>
    <row r="26" spans="3:16" x14ac:dyDescent="0.25">
      <c r="C26">
        <v>0.41349999999999998</v>
      </c>
      <c r="D26">
        <v>10000</v>
      </c>
      <c r="E26" s="8">
        <f t="shared" si="3"/>
        <v>247855.56566283759</v>
      </c>
      <c r="F26" s="8">
        <f t="shared" si="3"/>
        <v>24.949679663639859</v>
      </c>
      <c r="G26" s="8">
        <f t="shared" si="3"/>
        <v>6.2376281752705873</v>
      </c>
      <c r="H26" s="8">
        <f t="shared" si="3"/>
        <v>2.7723100432779129</v>
      </c>
      <c r="I26" s="8">
        <f t="shared" si="3"/>
        <v>1.5594330772155673</v>
      </c>
      <c r="J26" s="8">
        <f t="shared" si="3"/>
        <v>0.99804050174296444</v>
      </c>
      <c r="K26" s="8">
        <f t="shared" si="3"/>
        <v>0.69308522451544241</v>
      </c>
      <c r="L26" s="8">
        <f t="shared" si="3"/>
        <v>0.50920628068103602</v>
      </c>
      <c r="M26" s="8">
        <f t="shared" si="3"/>
        <v>0.3898615235397494</v>
      </c>
      <c r="N26" s="8">
        <f t="shared" si="3"/>
        <v>0.30803902034491004</v>
      </c>
      <c r="O26" s="8">
        <f t="shared" si="3"/>
        <v>0.24951179161075884</v>
      </c>
      <c r="P26" s="6"/>
    </row>
    <row r="27" spans="3:16" x14ac:dyDescent="0.25">
      <c r="C27" t="s">
        <v>51</v>
      </c>
      <c r="D27" t="s">
        <v>0</v>
      </c>
      <c r="E27">
        <v>0.05</v>
      </c>
      <c r="F27">
        <v>0.1</v>
      </c>
      <c r="G27">
        <v>0.2</v>
      </c>
      <c r="H27">
        <v>0.3</v>
      </c>
      <c r="I27">
        <v>0.4</v>
      </c>
      <c r="J27">
        <v>0.5</v>
      </c>
      <c r="K27">
        <v>0.6</v>
      </c>
      <c r="L27">
        <v>0.7</v>
      </c>
      <c r="M27">
        <v>0.8</v>
      </c>
      <c r="N27">
        <v>0.9</v>
      </c>
      <c r="O27">
        <v>1</v>
      </c>
    </row>
    <row r="28" spans="3:16" x14ac:dyDescent="0.25">
      <c r="C28" t="s">
        <v>1</v>
      </c>
      <c r="D28" t="s">
        <v>44</v>
      </c>
      <c r="E28">
        <v>340.3</v>
      </c>
      <c r="F28">
        <v>336.4</v>
      </c>
      <c r="G28">
        <v>332.5</v>
      </c>
      <c r="H28">
        <v>328.6</v>
      </c>
      <c r="I28">
        <v>324.60000000000002</v>
      </c>
      <c r="J28">
        <v>320.5</v>
      </c>
      <c r="K28">
        <v>316.5</v>
      </c>
      <c r="L28">
        <v>312.3</v>
      </c>
      <c r="M28">
        <v>308.10000000000002</v>
      </c>
      <c r="N28">
        <v>303.8</v>
      </c>
      <c r="O28">
        <v>299.5</v>
      </c>
    </row>
    <row r="29" spans="3:16" x14ac:dyDescent="0.25">
      <c r="C29">
        <v>1.2250000000000001</v>
      </c>
      <c r="D29">
        <v>0</v>
      </c>
      <c r="E29" s="8">
        <f>IF(E$27&lt;=0.7,(1/2*$C29*(E3+0.001)^2*$A$4)*($B$4+$C$4*E16^2),(1/2*$C29*(E3+0.001)^2*$A$4)*($B$4+$C$6*E16^2))</f>
        <v>1467600059.3246286</v>
      </c>
      <c r="F29" s="8">
        <f>IF(F$27&lt;=0.7,(1/2*$C29*(F3+0.001)^2*$A$4)*($B$4+$C$4*F16^2),(1/2*$C29*(F3+0.001)^2*$A$4)*($B$4+$C$6*F16^2))</f>
        <v>149990.38978506409</v>
      </c>
      <c r="G29" s="8">
        <f t="shared" ref="G29:O29" si="4">IF(G$27&lt;=0.7,(1/2*$C29*(G3+0.001)^2*$A$4)*($B$4+$C$4*G16^2),(1/2*$C29*(G3+0.001)^2*$A$4)*($B$4+$C$6*G16^2))</f>
        <v>46405.624646452896</v>
      </c>
      <c r="H29" s="8">
        <f t="shared" si="4"/>
        <v>37778.818927705033</v>
      </c>
      <c r="I29" s="8">
        <f t="shared" si="4"/>
        <v>47228.824191014726</v>
      </c>
      <c r="J29" s="8">
        <f t="shared" si="4"/>
        <v>65283.570635552162</v>
      </c>
      <c r="K29" s="8">
        <f t="shared" si="4"/>
        <v>89605.764030313789</v>
      </c>
      <c r="L29" s="8">
        <f t="shared" si="4"/>
        <v>119394.54266385993</v>
      </c>
      <c r="M29" s="8">
        <f t="shared" si="4"/>
        <v>156396.15956494381</v>
      </c>
      <c r="N29" s="8">
        <f t="shared" si="4"/>
        <v>195852.5250694475</v>
      </c>
      <c r="O29" s="8">
        <f t="shared" si="4"/>
        <v>240321.28825283021</v>
      </c>
      <c r="P29" s="6" t="s">
        <v>41</v>
      </c>
    </row>
    <row r="30" spans="3:16" x14ac:dyDescent="0.25">
      <c r="C30">
        <v>1.1120000000000001</v>
      </c>
      <c r="D30">
        <v>1000</v>
      </c>
      <c r="E30" s="8">
        <f t="shared" ref="E30:O39" si="5">IF(E$27&lt;=0.7,(1/2*$C30*(E4+0.001)^2*$A$4)*($B$4+$C$4*E17^2),(1/2*$C30*(E4+0.001)^2*$A$4)*($B$4+$C$6*E17^2))</f>
        <v>1654327321.033536</v>
      </c>
      <c r="F30" s="8">
        <f t="shared" si="5"/>
        <v>168514.86528959693</v>
      </c>
      <c r="G30" s="8">
        <f t="shared" si="5"/>
        <v>50031.016891997046</v>
      </c>
      <c r="H30" s="8">
        <f t="shared" si="5"/>
        <v>37452.896788218903</v>
      </c>
      <c r="I30" s="8">
        <f t="shared" si="5"/>
        <v>44111.725983695738</v>
      </c>
      <c r="J30" s="8">
        <f t="shared" si="5"/>
        <v>59329.554751143536</v>
      </c>
      <c r="K30" s="8">
        <f t="shared" si="5"/>
        <v>80471.529825483405</v>
      </c>
      <c r="L30" s="8">
        <f t="shared" si="5"/>
        <v>106634.83236420859</v>
      </c>
      <c r="M30" s="8">
        <f t="shared" si="5"/>
        <v>139788.0301640328</v>
      </c>
      <c r="N30" s="8">
        <f t="shared" si="5"/>
        <v>174567.28332312859</v>
      </c>
      <c r="O30" s="8">
        <f t="shared" si="5"/>
        <v>213855.85406913733</v>
      </c>
      <c r="P30" s="6"/>
    </row>
    <row r="31" spans="3:16" x14ac:dyDescent="0.25">
      <c r="C31">
        <v>1.0069999999999999</v>
      </c>
      <c r="D31">
        <v>2000</v>
      </c>
      <c r="E31" s="8">
        <f t="shared" si="5"/>
        <v>1869800358.9240894</v>
      </c>
      <c r="F31" s="8">
        <f t="shared" si="5"/>
        <v>189959.18424121261</v>
      </c>
      <c r="G31" s="8">
        <f t="shared" si="5"/>
        <v>54481.283498528544</v>
      </c>
      <c r="H31" s="8">
        <f t="shared" si="5"/>
        <v>37676.335312568728</v>
      </c>
      <c r="I31" s="8">
        <f t="shared" si="5"/>
        <v>41580.398042256122</v>
      </c>
      <c r="J31" s="8">
        <f t="shared" si="5"/>
        <v>54123.90678423841</v>
      </c>
      <c r="K31" s="8">
        <f t="shared" si="5"/>
        <v>72328.617756690874</v>
      </c>
      <c r="L31" s="8">
        <f t="shared" si="5"/>
        <v>95174.051045139669</v>
      </c>
      <c r="M31" s="8">
        <f t="shared" si="5"/>
        <v>124885.33130543552</v>
      </c>
      <c r="N31" s="8">
        <f t="shared" si="5"/>
        <v>155399.56758824541</v>
      </c>
      <c r="O31" s="8">
        <f t="shared" si="5"/>
        <v>189975.78790980877</v>
      </c>
      <c r="P31" s="6"/>
    </row>
    <row r="32" spans="3:16" x14ac:dyDescent="0.25">
      <c r="C32">
        <v>0.9093</v>
      </c>
      <c r="D32">
        <v>3000</v>
      </c>
      <c r="E32" s="8">
        <f t="shared" si="5"/>
        <v>2119994766.0546973</v>
      </c>
      <c r="F32" s="8">
        <f t="shared" si="5"/>
        <v>214922.74940988413</v>
      </c>
      <c r="G32" s="8">
        <f t="shared" si="5"/>
        <v>59897.002320899606</v>
      </c>
      <c r="H32" s="8">
        <f t="shared" si="5"/>
        <v>38493.745141237356</v>
      </c>
      <c r="I32" s="8">
        <f t="shared" si="5"/>
        <v>39632.872619867485</v>
      </c>
      <c r="J32" s="8">
        <f t="shared" si="5"/>
        <v>49628.848483992391</v>
      </c>
      <c r="K32" s="8">
        <f t="shared" si="5"/>
        <v>65104.676956190066</v>
      </c>
      <c r="L32" s="8">
        <f t="shared" si="5"/>
        <v>84903.247699836138</v>
      </c>
      <c r="M32" s="8">
        <f t="shared" si="5"/>
        <v>111547.60448105456</v>
      </c>
      <c r="N32" s="8">
        <f t="shared" si="5"/>
        <v>138163.10390914333</v>
      </c>
      <c r="O32" s="8">
        <f t="shared" si="5"/>
        <v>168445.12095703182</v>
      </c>
      <c r="P32" s="6"/>
    </row>
    <row r="33" spans="3:16" x14ac:dyDescent="0.25">
      <c r="C33">
        <v>0.81940000000000002</v>
      </c>
      <c r="D33">
        <v>4000</v>
      </c>
      <c r="E33" s="8">
        <f t="shared" si="5"/>
        <v>2410746993.424571</v>
      </c>
      <c r="F33" s="8">
        <f t="shared" si="5"/>
        <v>243992.99781864282</v>
      </c>
      <c r="G33" s="8">
        <f t="shared" si="5"/>
        <v>66420.903219902859</v>
      </c>
      <c r="H33" s="8">
        <f t="shared" si="5"/>
        <v>39960.597808683364</v>
      </c>
      <c r="I33" s="8">
        <f t="shared" si="5"/>
        <v>38288.29051665622</v>
      </c>
      <c r="J33" s="8">
        <f t="shared" si="5"/>
        <v>45840.352300483086</v>
      </c>
      <c r="K33" s="8">
        <f t="shared" si="5"/>
        <v>58776.355047227451</v>
      </c>
      <c r="L33" s="8">
        <f t="shared" si="5"/>
        <v>75780.395578540876</v>
      </c>
      <c r="M33" s="8">
        <f t="shared" si="5"/>
        <v>99721.761479199864</v>
      </c>
      <c r="N33" s="8">
        <f t="shared" si="5"/>
        <v>122782.38465237623</v>
      </c>
      <c r="O33" s="8">
        <f t="shared" si="5"/>
        <v>149164.76574121721</v>
      </c>
      <c r="P33" s="6"/>
    </row>
    <row r="34" spans="3:16" x14ac:dyDescent="0.25">
      <c r="C34">
        <v>0.73640000000000005</v>
      </c>
      <c r="D34">
        <v>5000</v>
      </c>
      <c r="E34" s="8">
        <f t="shared" si="5"/>
        <v>2751317125.9174747</v>
      </c>
      <c r="F34" s="8">
        <f t="shared" si="5"/>
        <v>278100.55649961386</v>
      </c>
      <c r="G34" s="8">
        <f t="shared" si="5"/>
        <v>74276.704076200796</v>
      </c>
      <c r="H34" s="8">
        <f t="shared" si="5"/>
        <v>42159.09220664468</v>
      </c>
      <c r="I34" s="8">
        <f t="shared" si="5"/>
        <v>37566.791645277299</v>
      </c>
      <c r="J34" s="8">
        <f t="shared" si="5"/>
        <v>42736.090020899755</v>
      </c>
      <c r="K34" s="8">
        <f t="shared" si="5"/>
        <v>53283.673388335606</v>
      </c>
      <c r="L34" s="8">
        <f t="shared" si="5"/>
        <v>67707.621351700538</v>
      </c>
      <c r="M34" s="8">
        <f t="shared" si="5"/>
        <v>89282.827532929834</v>
      </c>
      <c r="N34" s="8">
        <f t="shared" si="5"/>
        <v>109086.05252648982</v>
      </c>
      <c r="O34" s="8">
        <f t="shared" si="5"/>
        <v>131913.86742870347</v>
      </c>
      <c r="P34" s="6"/>
    </row>
    <row r="35" spans="3:16" x14ac:dyDescent="0.25">
      <c r="C35">
        <v>0.66010000000000002</v>
      </c>
      <c r="D35">
        <v>6000</v>
      </c>
      <c r="E35" s="8">
        <f t="shared" si="5"/>
        <v>3147162688.8614764</v>
      </c>
      <c r="F35" s="8">
        <f t="shared" si="5"/>
        <v>317795.28608784731</v>
      </c>
      <c r="G35" s="8">
        <f t="shared" si="5"/>
        <v>83603.030325622836</v>
      </c>
      <c r="H35" s="8">
        <f t="shared" si="5"/>
        <v>45153.065667691852</v>
      </c>
      <c r="I35" s="8">
        <f t="shared" si="5"/>
        <v>37507.65476914154</v>
      </c>
      <c r="J35" s="8">
        <f t="shared" si="5"/>
        <v>40345.747980649779</v>
      </c>
      <c r="K35" s="8">
        <f t="shared" si="5"/>
        <v>48652.990536788435</v>
      </c>
      <c r="L35" s="8">
        <f t="shared" si="5"/>
        <v>60711.238923390571</v>
      </c>
      <c r="M35" s="8">
        <f t="shared" si="5"/>
        <v>80266.85616690146</v>
      </c>
      <c r="N35" s="8">
        <f t="shared" si="5"/>
        <v>97111.971007724234</v>
      </c>
      <c r="O35" s="8">
        <f t="shared" si="5"/>
        <v>116733.69167779632</v>
      </c>
      <c r="P35" s="6"/>
    </row>
    <row r="36" spans="3:16" x14ac:dyDescent="0.25">
      <c r="C36">
        <v>0.59</v>
      </c>
      <c r="D36">
        <v>7000</v>
      </c>
      <c r="E36" s="8">
        <f t="shared" si="5"/>
        <v>3616126248.49439</v>
      </c>
      <c r="F36" s="8">
        <f t="shared" si="5"/>
        <v>364872.32456299424</v>
      </c>
      <c r="G36" s="8">
        <f t="shared" si="5"/>
        <v>94833.975624900268</v>
      </c>
      <c r="H36" s="8">
        <f t="shared" si="5"/>
        <v>49107.121995876543</v>
      </c>
      <c r="I36" s="8">
        <f t="shared" si="5"/>
        <v>38160.567598610774</v>
      </c>
      <c r="J36" s="8">
        <f t="shared" si="5"/>
        <v>38643.230116543265</v>
      </c>
      <c r="K36" s="8">
        <f t="shared" si="5"/>
        <v>44793.072901550091</v>
      </c>
      <c r="L36" s="8">
        <f t="shared" si="5"/>
        <v>54635.762785347557</v>
      </c>
      <c r="M36" s="8">
        <f t="shared" si="5"/>
        <v>72476.278529893403</v>
      </c>
      <c r="N36" s="8">
        <f t="shared" si="5"/>
        <v>86584.665975846015</v>
      </c>
      <c r="O36" s="8">
        <f t="shared" si="5"/>
        <v>103266.20921390389</v>
      </c>
      <c r="P36" s="6"/>
    </row>
    <row r="37" spans="3:16" x14ac:dyDescent="0.25">
      <c r="C37">
        <v>0.52580000000000005</v>
      </c>
      <c r="D37">
        <v>8000</v>
      </c>
      <c r="E37" s="8">
        <f t="shared" si="5"/>
        <v>4168672659.2731009</v>
      </c>
      <c r="F37" s="8">
        <f t="shared" si="5"/>
        <v>420386.18798354175</v>
      </c>
      <c r="G37" s="8">
        <f t="shared" si="5"/>
        <v>108233.77022133436</v>
      </c>
      <c r="H37" s="8">
        <f t="shared" si="5"/>
        <v>54139.837021958389</v>
      </c>
      <c r="I37" s="8">
        <f t="shared" si="5"/>
        <v>39593.953911392651</v>
      </c>
      <c r="J37" s="8">
        <f t="shared" si="5"/>
        <v>37674.65494073736</v>
      </c>
      <c r="K37" s="8">
        <f t="shared" si="5"/>
        <v>41738.886004763794</v>
      </c>
      <c r="L37" s="8">
        <f t="shared" si="5"/>
        <v>49510.437445512223</v>
      </c>
      <c r="M37" s="8">
        <f t="shared" si="5"/>
        <v>65952.523106412918</v>
      </c>
      <c r="N37" s="8">
        <f t="shared" si="5"/>
        <v>77541.669167544344</v>
      </c>
      <c r="O37" s="8">
        <f t="shared" si="5"/>
        <v>91547.242880961217</v>
      </c>
      <c r="P37" s="6"/>
    </row>
    <row r="38" spans="3:16" x14ac:dyDescent="0.25">
      <c r="C38">
        <v>0.46710000000000002</v>
      </c>
      <c r="D38">
        <v>9000</v>
      </c>
      <c r="E38" s="8">
        <f t="shared" si="5"/>
        <v>4825880829.3972464</v>
      </c>
      <c r="F38" s="8">
        <f t="shared" si="5"/>
        <v>486460.1830103838</v>
      </c>
      <c r="G38" s="8">
        <f t="shared" si="5"/>
        <v>124325.83881979296</v>
      </c>
      <c r="H38" s="8">
        <f t="shared" si="5"/>
        <v>60469.549139899216</v>
      </c>
      <c r="I38" s="8">
        <f t="shared" si="5"/>
        <v>41908.976701462168</v>
      </c>
      <c r="J38" s="8">
        <f t="shared" si="5"/>
        <v>37475.546395150377</v>
      </c>
      <c r="K38" s="8">
        <f t="shared" si="5"/>
        <v>39478.199601558867</v>
      </c>
      <c r="L38" s="8">
        <f t="shared" si="5"/>
        <v>45281.632797349695</v>
      </c>
      <c r="M38" s="8">
        <f t="shared" si="5"/>
        <v>60632.056472202188</v>
      </c>
      <c r="N38" s="8">
        <f t="shared" si="5"/>
        <v>69872.534423229547</v>
      </c>
      <c r="O38" s="8">
        <f t="shared" si="5"/>
        <v>81419.248856766237</v>
      </c>
      <c r="P38" s="6"/>
    </row>
    <row r="39" spans="3:16" x14ac:dyDescent="0.25">
      <c r="C39">
        <v>0.41349999999999998</v>
      </c>
      <c r="D39">
        <v>10000</v>
      </c>
      <c r="E39" s="8">
        <f t="shared" si="5"/>
        <v>5608567089.5977879</v>
      </c>
      <c r="F39" s="8">
        <f t="shared" si="5"/>
        <v>565191.59273919731</v>
      </c>
      <c r="G39" s="8">
        <f t="shared" si="5"/>
        <v>143631.44974888125</v>
      </c>
      <c r="H39" s="8">
        <f t="shared" si="5"/>
        <v>68322.017245647046</v>
      </c>
      <c r="I39" s="8">
        <f t="shared" si="5"/>
        <v>45223.662364113479</v>
      </c>
      <c r="J39" s="8">
        <f t="shared" si="5"/>
        <v>38109.345142796978</v>
      </c>
      <c r="K39" s="8">
        <f t="shared" si="5"/>
        <v>38039.794377455743</v>
      </c>
      <c r="L39" s="8">
        <f t="shared" si="5"/>
        <v>41952.012266744438</v>
      </c>
      <c r="M39" s="8">
        <f t="shared" si="5"/>
        <v>56524.788066562287</v>
      </c>
      <c r="N39" s="8">
        <f t="shared" si="5"/>
        <v>63560.150941329521</v>
      </c>
      <c r="O39" s="8">
        <f t="shared" si="5"/>
        <v>72840.183218570412</v>
      </c>
      <c r="P39" s="6"/>
    </row>
    <row r="42" spans="3:16" x14ac:dyDescent="0.25">
      <c r="C42" t="s">
        <v>38</v>
      </c>
      <c r="D42" s="5" t="s">
        <v>0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3:16" x14ac:dyDescent="0.25">
      <c r="C43">
        <v>0.5</v>
      </c>
      <c r="D43">
        <v>0</v>
      </c>
      <c r="E43">
        <v>0.1</v>
      </c>
      <c r="F43">
        <v>0.2</v>
      </c>
      <c r="G43">
        <v>0.3</v>
      </c>
      <c r="H43">
        <v>0.4</v>
      </c>
      <c r="I43">
        <v>0.5</v>
      </c>
      <c r="J43">
        <v>0.6</v>
      </c>
      <c r="K43">
        <v>0.7</v>
      </c>
      <c r="L43">
        <v>0.8</v>
      </c>
      <c r="M43">
        <v>0.9</v>
      </c>
      <c r="N43">
        <v>1</v>
      </c>
    </row>
    <row r="44" spans="3:16" x14ac:dyDescent="0.25">
      <c r="C44">
        <v>0</v>
      </c>
      <c r="D44">
        <f>IF(E16&gt;$A$10,-100,(Sheet4!$A$7*'Engine Deck'!B51-Sheet4!E29)*E3/Sheet4!$B$2)</f>
        <v>-100</v>
      </c>
      <c r="E44">
        <f>IF(F16&gt;$A$10,-100,(Sheet4!$A$7*'Engine Deck'!C51-Sheet4!F29)*F3/Sheet4!$B$2)</f>
        <v>-100</v>
      </c>
      <c r="F44">
        <f>IF(G16&gt;$A$10,-100,(Sheet4!$A$7*'Engine Deck'!D51-Sheet4!G29)*G3/Sheet4!$B$2)</f>
        <v>-10.582300115544832</v>
      </c>
      <c r="G44">
        <f>IF(H16&gt;$A$10,-100,(Sheet4!$A$7*'Engine Deck'!E51-Sheet4!H29)*H3/Sheet4!$B$2)</f>
        <v>-15.486682001436794</v>
      </c>
      <c r="H44">
        <f>IF(I16&gt;$A$10,-100,(Sheet4!$A$7*'Engine Deck'!F51-Sheet4!I29)*I3/Sheet4!$B$2)</f>
        <v>-24.687039203942021</v>
      </c>
      <c r="I44">
        <f>IF(J16&gt;$A$10,-100,(Sheet4!$A$7*'Engine Deck'!G51-Sheet4!J29)*J3/Sheet4!$B$2)</f>
        <v>-38.974622400640548</v>
      </c>
      <c r="J44">
        <f>IF(K16&gt;$A$10,-100,(Sheet4!$A$7*'Engine Deck'!H51-Sheet4!K29)*K3/Sheet4!$B$2)</f>
        <v>-59.450279212997032</v>
      </c>
      <c r="K44">
        <f>IF(L16&gt;$A$10,-100,(Sheet4!$A$7*'Engine Deck'!I51-Sheet4!L29)*L3/Sheet4!$B$2)</f>
        <v>-87.314432430320466</v>
      </c>
      <c r="L44">
        <f>IF(M16&gt;$A$10,-100,(Sheet4!$A$7*'Engine Deck'!J51-Sheet4!M29)*M3/Sheet4!$B$2)</f>
        <v>-124.8089389795669</v>
      </c>
      <c r="M44">
        <f>IF(N16&gt;$A$10,-100,(Sheet4!$A$7*'Engine Deck'!K51-Sheet4!N29)*N3/Sheet4!$B$2)</f>
        <v>-171.1497204085029</v>
      </c>
      <c r="N44">
        <f>IF(O16&gt;$A$10,-100,(Sheet4!$A$7*'Engine Deck'!L51-Sheet4!O29)*O3/Sheet4!$B$2)</f>
        <v>-228.80053214919036</v>
      </c>
      <c r="O44" s="6" t="s">
        <v>41</v>
      </c>
    </row>
    <row r="45" spans="3:16" x14ac:dyDescent="0.25">
      <c r="C45">
        <v>1000</v>
      </c>
      <c r="D45">
        <f>IF(E17&gt;$A$10,-100,(Sheet4!$A$7*'Engine Deck'!B52-Sheet4!E30)*E4/Sheet4!$B$2)</f>
        <v>-100</v>
      </c>
      <c r="E45">
        <f>IF(F17&gt;$A$10,-100,(Sheet4!$A$7*'Engine Deck'!C52-Sheet4!F30)*F4/Sheet4!$B$2)</f>
        <v>-100</v>
      </c>
      <c r="F45">
        <f>IF(G17&gt;$A$10,-100,(Sheet4!$A$7*'Engine Deck'!D52-Sheet4!G30)*G4/Sheet4!$B$2)</f>
        <v>-8.7857658905657399</v>
      </c>
      <c r="G45">
        <f>IF(H17&gt;$A$10,-100,(Sheet4!$A$7*'Engine Deck'!E52-Sheet4!H30)*H4/Sheet4!$B$2)</f>
        <v>-12.058053066488803</v>
      </c>
      <c r="H45">
        <f>IF(I17&gt;$A$10,-100,(Sheet4!$A$7*'Engine Deck'!F52-Sheet4!I30)*I4/Sheet4!$B$2)</f>
        <v>-19.292596785550735</v>
      </c>
      <c r="I45">
        <f>IF(J17&gt;$A$10,-100,(Sheet4!$A$7*'Engine Deck'!G52-Sheet4!J30)*J4/Sheet4!$B$2)</f>
        <v>-31.058804594543449</v>
      </c>
      <c r="J45">
        <f>IF(K17&gt;$A$10,-100,(Sheet4!$A$7*'Engine Deck'!H52-Sheet4!K30)*K4/Sheet4!$B$2)</f>
        <v>-48.269610736090677</v>
      </c>
      <c r="K45">
        <f>IF(L17&gt;$A$10,-100,(Sheet4!$A$7*'Engine Deck'!I52-Sheet4!L30)*L4/Sheet4!$B$2)</f>
        <v>-71.946910174266137</v>
      </c>
      <c r="L45">
        <f>IF(M17&gt;$A$10,-100,(Sheet4!$A$7*'Engine Deck'!J52-Sheet4!M30)*M4/Sheet4!$B$2)</f>
        <v>-104.26885671325543</v>
      </c>
      <c r="M45">
        <f>IF(N17&gt;$A$10,-100,(Sheet4!$A$7*'Engine Deck'!K52-Sheet4!N30)*N4/Sheet4!$B$2)</f>
        <v>-144.03482529556979</v>
      </c>
      <c r="N45">
        <f>IF(O17&gt;$A$10,-100,(Sheet4!$A$7*'Engine Deck'!L52-Sheet4!O30)*O4/Sheet4!$B$2)</f>
        <v>-193.65473604595704</v>
      </c>
      <c r="O45" s="6"/>
    </row>
    <row r="46" spans="3:16" x14ac:dyDescent="0.25">
      <c r="C46">
        <v>2000</v>
      </c>
      <c r="D46">
        <f>IF(E18&gt;$A$10,-100,(Sheet4!$A$7*'Engine Deck'!B53-Sheet4!E31)*E5/Sheet4!$B$2)</f>
        <v>-100</v>
      </c>
      <c r="E46">
        <f>IF(F18&gt;$A$10,-100,(Sheet4!$A$7*'Engine Deck'!C53-Sheet4!F31)*F5/Sheet4!$B$2)</f>
        <v>-100</v>
      </c>
      <c r="F46">
        <f>IF(G18&gt;$A$10,-100,(Sheet4!$A$7*'Engine Deck'!D53-Sheet4!G31)*G5/Sheet4!$B$2)</f>
        <v>-7.5144805759321178</v>
      </c>
      <c r="G46">
        <f>IF(H18&gt;$A$10,-100,(Sheet4!$A$7*'Engine Deck'!E53-Sheet4!H31)*H5/Sheet4!$B$2)</f>
        <v>-9.3793192687672846</v>
      </c>
      <c r="H46">
        <f>IF(I18&gt;$A$10,-100,(Sheet4!$A$7*'Engine Deck'!F53-Sheet4!I31)*I5/Sheet4!$B$2)</f>
        <v>-14.925200453166209</v>
      </c>
      <c r="I46">
        <f>IF(J18&gt;$A$10,-100,(Sheet4!$A$7*'Engine Deck'!G53-Sheet4!J31)*J5/Sheet4!$B$2)</f>
        <v>-24.513442444993949</v>
      </c>
      <c r="J46">
        <f>IF(K18&gt;$A$10,-100,(Sheet4!$A$7*'Engine Deck'!H53-Sheet4!K31)*K5/Sheet4!$B$2)</f>
        <v>-38.887111514553425</v>
      </c>
      <c r="K46">
        <f>IF(L18&gt;$A$10,-100,(Sheet4!$A$7*'Engine Deck'!I53-Sheet4!L31)*L5/Sheet4!$B$2)</f>
        <v>-58.908727867492381</v>
      </c>
      <c r="L46">
        <f>IF(M18&gt;$A$10,-100,(Sheet4!$A$7*'Engine Deck'!J53-Sheet4!M31)*M5/Sheet4!$B$2)</f>
        <v>-86.728438611630907</v>
      </c>
      <c r="M46">
        <f>IF(N18&gt;$A$10,-100,(Sheet4!$A$7*'Engine Deck'!K53-Sheet4!N31)*N5/Sheet4!$B$2)</f>
        <v>-120.71534583029511</v>
      </c>
      <c r="N46">
        <f>IF(O18&gt;$A$10,-100,(Sheet4!$A$7*'Engine Deck'!L53-Sheet4!O31)*O5/Sheet4!$B$2)</f>
        <v>-163.26434694142222</v>
      </c>
      <c r="O46" s="6"/>
    </row>
    <row r="47" spans="3:16" x14ac:dyDescent="0.25">
      <c r="C47">
        <v>3000</v>
      </c>
      <c r="D47">
        <f>IF(E19&gt;$A$10,-100,(Sheet4!$A$7*'Engine Deck'!B54-Sheet4!E32)*E6/Sheet4!$B$2)</f>
        <v>-100</v>
      </c>
      <c r="E47">
        <f>IF(F19&gt;$A$10,-100,(Sheet4!$A$7*'Engine Deck'!C54-Sheet4!F32)*F6/Sheet4!$B$2)</f>
        <v>-100</v>
      </c>
      <c r="F47">
        <f>IF(G19&gt;$A$10,-100,(Sheet4!$A$7*'Engine Deck'!D54-Sheet4!G32)*G6/Sheet4!$B$2)</f>
        <v>-100</v>
      </c>
      <c r="G47">
        <f>IF(H19&gt;$A$10,-100,(Sheet4!$A$7*'Engine Deck'!E54-Sheet4!H32)*H6/Sheet4!$B$2)</f>
        <v>-7.3771385140630139</v>
      </c>
      <c r="H47">
        <f>IF(I19&gt;$A$10,-100,(Sheet4!$A$7*'Engine Deck'!F54-Sheet4!I32)*I6/Sheet4!$B$2)</f>
        <v>-11.4772825576497</v>
      </c>
      <c r="I47">
        <f>IF(J19&gt;$A$10,-100,(Sheet4!$A$7*'Engine Deck'!G54-Sheet4!J32)*J6/Sheet4!$B$2)</f>
        <v>-19.192052737523092</v>
      </c>
      <c r="J47">
        <f>IF(K19&gt;$A$10,-100,(Sheet4!$A$7*'Engine Deck'!H54-Sheet4!K32)*K6/Sheet4!$B$2)</f>
        <v>-31.110189451167358</v>
      </c>
      <c r="K47">
        <f>IF(L19&gt;$A$10,-100,(Sheet4!$A$7*'Engine Deck'!I54-Sheet4!L32)*L6/Sheet4!$B$2)</f>
        <v>-47.951807184674237</v>
      </c>
      <c r="L47">
        <f>IF(M19&gt;$A$10,-100,(Sheet4!$A$7*'Engine Deck'!J54-Sheet4!M32)*M6/Sheet4!$B$2)</f>
        <v>-71.875902380095638</v>
      </c>
      <c r="M47">
        <f>IF(N19&gt;$A$10,-100,(Sheet4!$A$7*'Engine Deck'!K54-Sheet4!N32)*N6/Sheet4!$B$2)</f>
        <v>-100.79876121608505</v>
      </c>
      <c r="N47">
        <f>IF(O19&gt;$A$10,-100,(Sheet4!$A$7*'Engine Deck'!L54-Sheet4!O32)*O6/Sheet4!$B$2)</f>
        <v>-137.14070803559071</v>
      </c>
      <c r="O47" s="6"/>
    </row>
    <row r="48" spans="3:16" x14ac:dyDescent="0.25">
      <c r="C48">
        <v>4000</v>
      </c>
      <c r="D48">
        <f>IF(E20&gt;$A$10,-100,(Sheet4!$A$7*'Engine Deck'!B55-Sheet4!E33)*E7/Sheet4!$B$2)</f>
        <v>-100</v>
      </c>
      <c r="E48">
        <f>IF(F20&gt;$A$10,-100,(Sheet4!$A$7*'Engine Deck'!C55-Sheet4!F33)*F7/Sheet4!$B$2)</f>
        <v>-100</v>
      </c>
      <c r="F48">
        <f>IF(G20&gt;$A$10,-100,(Sheet4!$A$7*'Engine Deck'!D55-Sheet4!G33)*G7/Sheet4!$B$2)</f>
        <v>-100</v>
      </c>
      <c r="G48">
        <f>IF(H20&gt;$A$10,-100,(Sheet4!$A$7*'Engine Deck'!E55-Sheet4!H33)*H7/Sheet4!$B$2)</f>
        <v>-5.9662012757327716</v>
      </c>
      <c r="H48">
        <f>IF(I20&gt;$A$10,-100,(Sheet4!$A$7*'Engine Deck'!F55-Sheet4!I33)*I7/Sheet4!$B$2)</f>
        <v>-8.8275292403410877</v>
      </c>
      <c r="I48">
        <f>IF(J20&gt;$A$10,-100,(Sheet4!$A$7*'Engine Deck'!G55-Sheet4!J33)*J7/Sheet4!$B$2)</f>
        <v>-14.933068277974762</v>
      </c>
      <c r="J48">
        <f>IF(K20&gt;$A$10,-100,(Sheet4!$A$7*'Engine Deck'!H55-Sheet4!K33)*K7/Sheet4!$B$2)</f>
        <v>-24.730467364003974</v>
      </c>
      <c r="K48">
        <f>IF(L20&gt;$A$10,-100,(Sheet4!$A$7*'Engine Deck'!I55-Sheet4!L33)*L7/Sheet4!$B$2)</f>
        <v>-38.812349722287834</v>
      </c>
      <c r="L48">
        <f>IF(M20&gt;$A$10,-100,(Sheet4!$A$7*'Engine Deck'!J55-Sheet4!M33)*M7/Sheet4!$B$2)</f>
        <v>-59.383927520821601</v>
      </c>
      <c r="M48">
        <f>IF(N20&gt;$A$10,-100,(Sheet4!$A$7*'Engine Deck'!K55-Sheet4!N33)*N7/Sheet4!$B$2)</f>
        <v>-83.878958152668204</v>
      </c>
      <c r="N48">
        <f>IF(O20&gt;$A$10,-100,(Sheet4!$A$7*'Engine Deck'!L55-Sheet4!O33)*O7/Sheet4!$B$2)</f>
        <v>-114.78448062267368</v>
      </c>
      <c r="O48" s="6"/>
    </row>
    <row r="49" spans="3:15" x14ac:dyDescent="0.25">
      <c r="C49">
        <v>5000</v>
      </c>
      <c r="D49">
        <f>IF(E21&gt;$A$10,-100,(Sheet4!$A$7*'Engine Deck'!B56-Sheet4!E34)*E8/Sheet4!$B$2)</f>
        <v>-100</v>
      </c>
      <c r="E49">
        <f>IF(F21&gt;$A$10,-100,(Sheet4!$A$7*'Engine Deck'!C56-Sheet4!F34)*F8/Sheet4!$B$2)</f>
        <v>-100</v>
      </c>
      <c r="F49">
        <f>IF(G21&gt;$A$10,-100,(Sheet4!$A$7*'Engine Deck'!D56-Sheet4!G34)*G8/Sheet4!$B$2)</f>
        <v>-100</v>
      </c>
      <c r="G49">
        <f>IF(H21&gt;$A$10,-100,(Sheet4!$A$7*'Engine Deck'!E56-Sheet4!H34)*H8/Sheet4!$B$2)</f>
        <v>-5.0784511213188646</v>
      </c>
      <c r="H49">
        <f>IF(I21&gt;$A$10,-100,(Sheet4!$A$7*'Engine Deck'!F56-Sheet4!I34)*I8/Sheet4!$B$2)</f>
        <v>-6.8731511129374994</v>
      </c>
      <c r="I49">
        <f>IF(J21&gt;$A$10,-100,(Sheet4!$A$7*'Engine Deck'!G56-Sheet4!J34)*J8/Sheet4!$B$2)</f>
        <v>-11.595092718361503</v>
      </c>
      <c r="J49">
        <f>IF(K21&gt;$A$10,-100,(Sheet4!$A$7*'Engine Deck'!H56-Sheet4!K34)*K8/Sheet4!$B$2)</f>
        <v>-19.561436664667927</v>
      </c>
      <c r="K49">
        <f>IF(L21&gt;$A$10,-100,(Sheet4!$A$7*'Engine Deck'!I56-Sheet4!L34)*L8/Sheet4!$B$2)</f>
        <v>-31.250041752622671</v>
      </c>
      <c r="L49">
        <f>IF(M21&gt;$A$10,-100,(Sheet4!$A$7*'Engine Deck'!J56-Sheet4!M34)*M8/Sheet4!$B$2)</f>
        <v>-48.952421179986089</v>
      </c>
      <c r="M49">
        <f>IF(N21&gt;$A$10,-100,(Sheet4!$A$7*'Engine Deck'!K56-Sheet4!N34)*N8/Sheet4!$B$2)</f>
        <v>-69.578122108791163</v>
      </c>
      <c r="N49">
        <f>IF(O21&gt;$A$10,-100,(Sheet4!$A$7*'Engine Deck'!L56-Sheet4!O34)*O8/Sheet4!$B$2)</f>
        <v>-95.725604935064467</v>
      </c>
      <c r="O49" s="6"/>
    </row>
    <row r="50" spans="3:15" x14ac:dyDescent="0.25">
      <c r="C50">
        <v>6000</v>
      </c>
      <c r="D50">
        <f>IF(E22&gt;$A$10,-100,(Sheet4!$A$7*'Engine Deck'!B57-Sheet4!E35)*E9/Sheet4!$B$2)</f>
        <v>-100</v>
      </c>
      <c r="E50">
        <f>IF(F22&gt;$A$10,-100,(Sheet4!$A$7*'Engine Deck'!C57-Sheet4!F35)*F9/Sheet4!$B$2)</f>
        <v>-100</v>
      </c>
      <c r="F50">
        <f>IF(G22&gt;$A$10,-100,(Sheet4!$A$7*'Engine Deck'!D57-Sheet4!G35)*G9/Sheet4!$B$2)</f>
        <v>-100</v>
      </c>
      <c r="G50">
        <f>IF(H22&gt;$A$10,-100,(Sheet4!$A$7*'Engine Deck'!E57-Sheet4!H35)*H9/Sheet4!$B$2)</f>
        <v>-4.6538368996056398</v>
      </c>
      <c r="H50">
        <f>IF(I22&gt;$A$10,-100,(Sheet4!$A$7*'Engine Deck'!F57-Sheet4!I35)*I9/Sheet4!$B$2)</f>
        <v>-5.5303401066256459</v>
      </c>
      <c r="I50">
        <f>IF(J22&gt;$A$10,-100,(Sheet4!$A$7*'Engine Deck'!G57-Sheet4!J35)*J9/Sheet4!$B$2)</f>
        <v>-9.0712590583814734</v>
      </c>
      <c r="J50">
        <f>IF(K22&gt;$A$10,-100,(Sheet4!$A$7*'Engine Deck'!H57-Sheet4!K35)*K9/Sheet4!$B$2)</f>
        <v>-15.472764793165741</v>
      </c>
      <c r="K50">
        <f>IF(L22&gt;$A$10,-100,(Sheet4!$A$7*'Engine Deck'!I57-Sheet4!L35)*L9/Sheet4!$B$2)</f>
        <v>-25.109892162891349</v>
      </c>
      <c r="L50">
        <f>IF(M22&gt;$A$10,-100,(Sheet4!$A$7*'Engine Deck'!J57-Sheet4!M35)*M9/Sheet4!$B$2)</f>
        <v>-40.403122826622941</v>
      </c>
      <c r="M50">
        <f>IF(N22&gt;$A$10,-100,(Sheet4!$A$7*'Engine Deck'!K57-Sheet4!N35)*N9/Sheet4!$B$2)</f>
        <v>-57.688644508526906</v>
      </c>
      <c r="N50">
        <f>IF(O22&gt;$A$10,-100,(Sheet4!$A$7*'Engine Deck'!L57-Sheet4!O35)*O9/Sheet4!$B$2)</f>
        <v>-79.724115289297615</v>
      </c>
      <c r="O50" s="6"/>
    </row>
    <row r="51" spans="3:15" x14ac:dyDescent="0.25">
      <c r="C51">
        <v>7000</v>
      </c>
      <c r="D51">
        <f>IF(E23&gt;$A$10,-100,(Sheet4!$A$7*'Engine Deck'!B58-Sheet4!E36)*E10/Sheet4!$B$2)</f>
        <v>-100</v>
      </c>
      <c r="E51">
        <f>IF(F23&gt;$A$10,-100,(Sheet4!$A$7*'Engine Deck'!C58-Sheet4!F36)*F10/Sheet4!$B$2)</f>
        <v>-100</v>
      </c>
      <c r="F51">
        <f>IF(G23&gt;$A$10,-100,(Sheet4!$A$7*'Engine Deck'!D58-Sheet4!G36)*G10/Sheet4!$B$2)</f>
        <v>-100</v>
      </c>
      <c r="G51">
        <f>IF(H23&gt;$A$10,-100,(Sheet4!$A$7*'Engine Deck'!E58-Sheet4!H36)*H10/Sheet4!$B$2)</f>
        <v>-4.6485997546591884</v>
      </c>
      <c r="H51">
        <f>IF(I23&gt;$A$10,-100,(Sheet4!$A$7*'Engine Deck'!F58-Sheet4!I36)*I10/Sheet4!$B$2)</f>
        <v>-4.7179379400710646</v>
      </c>
      <c r="I51">
        <f>IF(J23&gt;$A$10,-100,(Sheet4!$A$7*'Engine Deck'!G58-Sheet4!J36)*J10/Sheet4!$B$2)</f>
        <v>-7.2360796002543681</v>
      </c>
      <c r="J51">
        <f>IF(K23&gt;$A$10,-100,(Sheet4!$A$7*'Engine Deck'!H58-Sheet4!K36)*K10/Sheet4!$B$2)</f>
        <v>-12.283788735380803</v>
      </c>
      <c r="K51">
        <f>IF(L23&gt;$A$10,-100,(Sheet4!$A$7*'Engine Deck'!I58-Sheet4!L36)*L10/Sheet4!$B$2)</f>
        <v>-20.141981489430222</v>
      </c>
      <c r="L51">
        <f>IF(M23&gt;$A$10,-100,(Sheet4!$A$7*'Engine Deck'!J58-Sheet4!M36)*M10/Sheet4!$B$2)</f>
        <v>-33.407612805769894</v>
      </c>
      <c r="M51">
        <f>IF(N23&gt;$A$10,-100,(Sheet4!$A$7*'Engine Deck'!K58-Sheet4!N36)*N10/Sheet4!$B$2)</f>
        <v>-47.774931809058756</v>
      </c>
      <c r="N51">
        <f>IF(O23&gt;$A$10,-100,(Sheet4!$A$7*'Engine Deck'!L58-Sheet4!O36)*O10/Sheet4!$B$2)</f>
        <v>-66.214552040954572</v>
      </c>
      <c r="O51" s="6"/>
    </row>
    <row r="52" spans="3:15" x14ac:dyDescent="0.25">
      <c r="C52">
        <v>8000</v>
      </c>
      <c r="D52">
        <f>IF(E24&gt;$A$10,-100,(Sheet4!$A$7*'Engine Deck'!B59-Sheet4!E37)*E11/Sheet4!$B$2)</f>
        <v>-100</v>
      </c>
      <c r="E52">
        <f>IF(F24&gt;$A$10,-100,(Sheet4!$A$7*'Engine Deck'!C59-Sheet4!F37)*F11/Sheet4!$B$2)</f>
        <v>-100</v>
      </c>
      <c r="F52">
        <f>IF(G24&gt;$A$10,-100,(Sheet4!$A$7*'Engine Deck'!D59-Sheet4!G37)*G11/Sheet4!$B$2)</f>
        <v>-100</v>
      </c>
      <c r="G52">
        <f>IF(H24&gt;$A$10,-100,(Sheet4!$A$7*'Engine Deck'!E59-Sheet4!H37)*H11/Sheet4!$B$2)</f>
        <v>-5.0264242169615905</v>
      </c>
      <c r="H52">
        <f>IF(I24&gt;$A$10,-100,(Sheet4!$A$7*'Engine Deck'!F59-Sheet4!I37)*I11/Sheet4!$B$2)</f>
        <v>-4.3789639324805343</v>
      </c>
      <c r="I52">
        <f>IF(J24&gt;$A$10,-100,(Sheet4!$A$7*'Engine Deck'!G59-Sheet4!J37)*J11/Sheet4!$B$2)</f>
        <v>-6.013221460309115</v>
      </c>
      <c r="J52">
        <f>IF(K24&gt;$A$10,-100,(Sheet4!$A$7*'Engine Deck'!H59-Sheet4!K37)*K11/Sheet4!$B$2)</f>
        <v>-9.8987893767743618</v>
      </c>
      <c r="K52">
        <f>IF(L24&gt;$A$10,-100,(Sheet4!$A$7*'Engine Deck'!I59-Sheet4!L37)*L11/Sheet4!$B$2)</f>
        <v>-16.230331199392904</v>
      </c>
      <c r="L52">
        <f>IF(M24&gt;$A$10,-100,(Sheet4!$A$7*'Engine Deck'!J59-Sheet4!M37)*M11/Sheet4!$B$2)</f>
        <v>-27.833779428489052</v>
      </c>
      <c r="M52">
        <f>IF(N24&gt;$A$10,-100,(Sheet4!$A$7*'Engine Deck'!K59-Sheet4!N37)*N11/Sheet4!$B$2)</f>
        <v>-39.680371560494791</v>
      </c>
      <c r="N52">
        <f>IF(O24&gt;$A$10,-100,(Sheet4!$A$7*'Engine Deck'!L59-Sheet4!O37)*O11/Sheet4!$B$2)</f>
        <v>-55.013287165176372</v>
      </c>
      <c r="O52" s="6"/>
    </row>
    <row r="53" spans="3:15" x14ac:dyDescent="0.25">
      <c r="C53">
        <v>9000</v>
      </c>
      <c r="D53">
        <f>IF(E25&gt;$A$10,-100,(Sheet4!$A$7*'Engine Deck'!B60-Sheet4!E38)*E12/Sheet4!$B$2)</f>
        <v>-100</v>
      </c>
      <c r="E53">
        <f>IF(F25&gt;$A$10,-100,(Sheet4!$A$7*'Engine Deck'!C60-Sheet4!F38)*F12/Sheet4!$B$2)</f>
        <v>-100</v>
      </c>
      <c r="F53">
        <f>IF(G25&gt;$A$10,-100,(Sheet4!$A$7*'Engine Deck'!D60-Sheet4!G38)*G12/Sheet4!$B$2)</f>
        <v>-100</v>
      </c>
      <c r="G53">
        <f>IF(H25&gt;$A$10,-100,(Sheet4!$A$7*'Engine Deck'!E60-Sheet4!H38)*H12/Sheet4!$B$2)</f>
        <v>-100</v>
      </c>
      <c r="H53">
        <f>IF(I25&gt;$A$10,-100,(Sheet4!$A$7*'Engine Deck'!F60-Sheet4!I38)*I12/Sheet4!$B$2)</f>
        <v>-4.463716458029003</v>
      </c>
      <c r="I53">
        <f>IF(J25&gt;$A$10,-100,(Sheet4!$A$7*'Engine Deck'!G60-Sheet4!J38)*J12/Sheet4!$B$2)</f>
        <v>-5.3232787509189121</v>
      </c>
      <c r="J53">
        <f>IF(K25&gt;$A$10,-100,(Sheet4!$A$7*'Engine Deck'!H60-Sheet4!K38)*K12/Sheet4!$B$2)</f>
        <v>-8.2039763124397957</v>
      </c>
      <c r="K53">
        <f>IF(L25&gt;$A$10,-100,(Sheet4!$A$7*'Engine Deck'!I60-Sheet4!L38)*L12/Sheet4!$B$2)</f>
        <v>-13.219987032642326</v>
      </c>
      <c r="L53">
        <f>IF(M25&gt;$A$10,-100,(Sheet4!$A$7*'Engine Deck'!J60-Sheet4!M38)*M12/Sheet4!$B$2)</f>
        <v>-23.486589665563208</v>
      </c>
      <c r="M53">
        <f>IF(N25&gt;$A$10,-100,(Sheet4!$A$7*'Engine Deck'!K60-Sheet4!N38)*N12/Sheet4!$B$2)</f>
        <v>-33.148899274564876</v>
      </c>
      <c r="N53">
        <f>IF(O25&gt;$A$10,-100,(Sheet4!$A$7*'Engine Deck'!L60-Sheet4!O38)*O12/Sheet4!$B$2)</f>
        <v>-45.79159748351411</v>
      </c>
      <c r="O53" s="6"/>
    </row>
    <row r="54" spans="3:15" x14ac:dyDescent="0.25">
      <c r="C54">
        <v>10000</v>
      </c>
      <c r="D54">
        <f>IF(E26&gt;$A$10,-100,(Sheet4!$A$7*'Engine Deck'!B61-Sheet4!E39)*E13/Sheet4!$B$2)</f>
        <v>-100</v>
      </c>
      <c r="E54">
        <f>IF(F26&gt;$A$10,-100,(Sheet4!$A$7*'Engine Deck'!C61-Sheet4!F39)*F13/Sheet4!$B$2)</f>
        <v>-100</v>
      </c>
      <c r="F54">
        <f>IF(G26&gt;$A$10,-100,(Sheet4!$A$7*'Engine Deck'!D61-Sheet4!G39)*G13/Sheet4!$B$2)</f>
        <v>-100</v>
      </c>
      <c r="G54">
        <f>IF(H26&gt;$A$10,-100,(Sheet4!$A$7*'Engine Deck'!E61-Sheet4!H39)*H13/Sheet4!$B$2)</f>
        <v>-100</v>
      </c>
      <c r="H54">
        <f>IF(I26&gt;$A$10,-100,(Sheet4!$A$7*'Engine Deck'!F61-Sheet4!I39)*I13/Sheet4!$B$2)</f>
        <v>-4.9499488564032035</v>
      </c>
      <c r="I54">
        <f>IF(J26&gt;$A$10,-100,(Sheet4!$A$7*'Engine Deck'!G61-Sheet4!J39)*J13/Sheet4!$B$2)</f>
        <v>-5.124446871511501</v>
      </c>
      <c r="J54">
        <f>IF(K26&gt;$A$10,-100,(Sheet4!$A$7*'Engine Deck'!H61-Sheet4!K39)*K13/Sheet4!$B$2)</f>
        <v>-7.1364676509465328</v>
      </c>
      <c r="K54">
        <f>IF(L26&gt;$A$10,-100,(Sheet4!$A$7*'Engine Deck'!I61-Sheet4!L39)*L13/Sheet4!$B$2)</f>
        <v>-11.024021522399954</v>
      </c>
      <c r="L54">
        <f>IF(M26&gt;$A$10,-100,(Sheet4!$A$7*'Engine Deck'!J61-Sheet4!M39)*M13/Sheet4!$B$2)</f>
        <v>-20.261370880661104</v>
      </c>
      <c r="M54">
        <f>IF(N26&gt;$A$10,-100,(Sheet4!$A$7*'Engine Deck'!K61-Sheet4!N39)*N13/Sheet4!$B$2)</f>
        <v>-28.041477350291178</v>
      </c>
      <c r="N54">
        <f>IF(O26&gt;$A$10,-100,(Sheet4!$A$7*'Engine Deck'!L61-Sheet4!O39)*O13/Sheet4!$B$2)</f>
        <v>-38.370301282337934</v>
      </c>
      <c r="O54" s="6"/>
    </row>
    <row r="57" spans="3:15" x14ac:dyDescent="0.25">
      <c r="C57" t="s">
        <v>38</v>
      </c>
      <c r="D57" s="5" t="s">
        <v>0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3:15" x14ac:dyDescent="0.25">
      <c r="C58">
        <v>0.6</v>
      </c>
      <c r="D58">
        <v>0</v>
      </c>
      <c r="E58">
        <v>0.1</v>
      </c>
      <c r="F58">
        <v>0.2</v>
      </c>
      <c r="G58">
        <v>0.3</v>
      </c>
      <c r="H58">
        <v>0.4</v>
      </c>
      <c r="I58">
        <v>0.5</v>
      </c>
      <c r="J58">
        <v>0.6</v>
      </c>
      <c r="K58">
        <v>0.7</v>
      </c>
      <c r="L58">
        <v>0.8</v>
      </c>
      <c r="M58">
        <v>0.9</v>
      </c>
      <c r="N58">
        <v>1</v>
      </c>
    </row>
    <row r="59" spans="3:15" x14ac:dyDescent="0.25">
      <c r="C59">
        <v>0</v>
      </c>
      <c r="D59">
        <f>IF(E16&gt;$A$10,-100,(Sheet4!$A$7*'Engine Deck'!B66-Sheet4!E29)*E3/Sheet4!$B$2)</f>
        <v>-100</v>
      </c>
      <c r="E59">
        <f>IF(F16&gt;$A$10,-100,(Sheet4!$A$7*'Engine Deck'!C66-Sheet4!F29)*F3/Sheet4!$B$2)</f>
        <v>-100</v>
      </c>
      <c r="F59">
        <f>IF(G16&gt;$A$10,-100,(Sheet4!$A$7*'Engine Deck'!D66-Sheet4!G29)*G3/Sheet4!$B$2)</f>
        <v>-2.8295233294598989</v>
      </c>
      <c r="G59">
        <f>IF(H16&gt;$A$10,-100,(Sheet4!$A$7*'Engine Deck'!E66-Sheet4!H29)*H3/Sheet4!$B$2)</f>
        <v>-4.3946222246522462</v>
      </c>
      <c r="H59">
        <f>IF(I16&gt;$A$10,-100,(Sheet4!$A$7*'Engine Deck'!F66-Sheet4!I29)*I3/Sheet4!$B$2)</f>
        <v>-10.483330355250075</v>
      </c>
      <c r="I59">
        <f>IF(J16&gt;$A$10,-100,(Sheet4!$A$7*'Engine Deck'!G66-Sheet4!J29)*J3/Sheet4!$B$2)</f>
        <v>-21.813527952275454</v>
      </c>
      <c r="J59">
        <f>IF(K16&gt;$A$10,-100,(Sheet4!$A$7*'Engine Deck'!H66-Sheet4!K29)*K3/Sheet4!$B$2)</f>
        <v>-39.42666751378902</v>
      </c>
      <c r="K59">
        <f>IF(L16&gt;$A$10,-100,(Sheet4!$A$7*'Engine Deck'!I66-Sheet4!L29)*L3/Sheet4!$B$2)</f>
        <v>-64.474575819041846</v>
      </c>
      <c r="L59">
        <f>IF(M16&gt;$A$10,-100,(Sheet4!$A$7*'Engine Deck'!J66-Sheet4!M29)*M3/Sheet4!$B$2)</f>
        <v>-99.158965264942239</v>
      </c>
      <c r="M59">
        <f>IF(N16&gt;$A$10,-100,(Sheet4!$A$7*'Engine Deck'!K66-Sheet4!N29)*N3/Sheet4!$B$2)</f>
        <v>-142.66230362421686</v>
      </c>
      <c r="N59">
        <f>IF(O16&gt;$A$10,-100,(Sheet4!$A$7*'Engine Deck'!L66-Sheet4!O29)*O3/Sheet4!$B$2)</f>
        <v>-197.42024515789421</v>
      </c>
      <c r="O59" s="6" t="s">
        <v>41</v>
      </c>
    </row>
    <row r="60" spans="3:15" x14ac:dyDescent="0.25">
      <c r="C60">
        <v>1000</v>
      </c>
      <c r="D60">
        <f>IF(E17&gt;$A$10,-100,(Sheet4!$A$7*'Engine Deck'!B67-Sheet4!E30)*E4/Sheet4!$B$2)</f>
        <v>-100</v>
      </c>
      <c r="E60">
        <f>IF(F17&gt;$A$10,-100,(Sheet4!$A$7*'Engine Deck'!C67-Sheet4!F30)*F4/Sheet4!$B$2)</f>
        <v>-100</v>
      </c>
      <c r="F60">
        <f>IF(G17&gt;$A$10,-100,(Sheet4!$A$7*'Engine Deck'!D67-Sheet4!G30)*G4/Sheet4!$B$2)</f>
        <v>-1.9858281467015368</v>
      </c>
      <c r="G60">
        <f>IF(H17&gt;$A$10,-100,(Sheet4!$A$7*'Engine Deck'!E67-Sheet4!H30)*H4/Sheet4!$B$2)</f>
        <v>-2.3292400212412931</v>
      </c>
      <c r="H60">
        <f>IF(I17&gt;$A$10,-100,(Sheet4!$A$7*'Engine Deck'!F67-Sheet4!I30)*I4/Sheet4!$B$2)</f>
        <v>-6.8345654803759732</v>
      </c>
      <c r="I60">
        <f>IF(J17&gt;$A$10,-100,(Sheet4!$A$7*'Engine Deck'!G67-Sheet4!J30)*J4/Sheet4!$B$2)</f>
        <v>-16.006859067760725</v>
      </c>
      <c r="J60">
        <f>IF(K17&gt;$A$10,-100,(Sheet4!$A$7*'Engine Deck'!H67-Sheet4!K30)*K4/Sheet4!$B$2)</f>
        <v>-30.706959737765668</v>
      </c>
      <c r="K60">
        <f>IF(L17&gt;$A$10,-100,(Sheet4!$A$7*'Engine Deck'!I67-Sheet4!L30)*L4/Sheet4!$B$2)</f>
        <v>-51.914139036802574</v>
      </c>
      <c r="L60">
        <f>IF(M17&gt;$A$10,-100,(Sheet4!$A$7*'Engine Deck'!J67-Sheet4!M30)*M4/Sheet4!$B$2)</f>
        <v>-81.771340119684041</v>
      </c>
      <c r="M60">
        <f>IF(N17&gt;$A$10,-100,(Sheet4!$A$7*'Engine Deck'!K67-Sheet4!N30)*N4/Sheet4!$B$2)</f>
        <v>-119.04859572111049</v>
      </c>
      <c r="N60">
        <f>IF(O17&gt;$A$10,-100,(Sheet4!$A$7*'Engine Deck'!L67-Sheet4!O30)*O4/Sheet4!$B$2)</f>
        <v>-166.13117851126853</v>
      </c>
      <c r="O60" s="6"/>
    </row>
    <row r="61" spans="3:15" x14ac:dyDescent="0.25">
      <c r="C61">
        <v>2000</v>
      </c>
      <c r="D61">
        <f>IF(E18&gt;$A$10,-100,(Sheet4!$A$7*'Engine Deck'!B68-Sheet4!E31)*E5/Sheet4!$B$2)</f>
        <v>-100</v>
      </c>
      <c r="E61">
        <f>IF(F18&gt;$A$10,-100,(Sheet4!$A$7*'Engine Deck'!C68-Sheet4!F31)*F5/Sheet4!$B$2)</f>
        <v>-100</v>
      </c>
      <c r="F61">
        <f>IF(G18&gt;$A$10,-100,(Sheet4!$A$7*'Engine Deck'!D68-Sheet4!G31)*G5/Sheet4!$B$2)</f>
        <v>-1.5695790657910245</v>
      </c>
      <c r="G61">
        <f>IF(H18&gt;$A$10,-100,(Sheet4!$A$7*'Engine Deck'!E68-Sheet4!H31)*H5/Sheet4!$B$2)</f>
        <v>-0.87382443291231493</v>
      </c>
      <c r="H61">
        <f>IF(I18&gt;$A$10,-100,(Sheet4!$A$7*'Engine Deck'!F68-Sheet4!I31)*I5/Sheet4!$B$2)</f>
        <v>-4.0336641025067115</v>
      </c>
      <c r="I61">
        <f>IF(J18&gt;$A$10,-100,(Sheet4!$A$7*'Engine Deck'!G68-Sheet4!J31)*J5/Sheet4!$B$2)</f>
        <v>-11.354155248067061</v>
      </c>
      <c r="J61">
        <f>IF(K18&gt;$A$10,-100,(Sheet4!$A$7*'Engine Deck'!H68-Sheet4!K31)*K5/Sheet4!$B$2)</f>
        <v>-23.532819405594918</v>
      </c>
      <c r="K61">
        <f>IF(L18&gt;$A$10,-100,(Sheet4!$A$7*'Engine Deck'!I68-Sheet4!L31)*L5/Sheet4!$B$2)</f>
        <v>-41.394912907218789</v>
      </c>
      <c r="L61">
        <f>IF(M18&gt;$A$10,-100,(Sheet4!$A$7*'Engine Deck'!J68-Sheet4!M31)*M5/Sheet4!$B$2)</f>
        <v>-67.059799660894953</v>
      </c>
      <c r="M61">
        <f>IF(N18&gt;$A$10,-100,(Sheet4!$A$7*'Engine Deck'!K68-Sheet4!N31)*N5/Sheet4!$B$2)</f>
        <v>-98.870929083396447</v>
      </c>
      <c r="N61">
        <f>IF(O18&gt;$A$10,-100,(Sheet4!$A$7*'Engine Deck'!L68-Sheet4!O31)*O5/Sheet4!$B$2)</f>
        <v>-139.20165035275591</v>
      </c>
      <c r="O61" s="6"/>
    </row>
    <row r="62" spans="3:15" x14ac:dyDescent="0.25">
      <c r="C62">
        <v>3000</v>
      </c>
      <c r="D62">
        <f>IF(E19&gt;$A$10,-100,(Sheet4!$A$7*'Engine Deck'!B69-Sheet4!E32)*E6/Sheet4!$B$2)</f>
        <v>-100</v>
      </c>
      <c r="E62">
        <f>IF(F19&gt;$A$10,-100,(Sheet4!$A$7*'Engine Deck'!C69-Sheet4!F32)*F6/Sheet4!$B$2)</f>
        <v>-100</v>
      </c>
      <c r="F62">
        <f>IF(G19&gt;$A$10,-100,(Sheet4!$A$7*'Engine Deck'!D69-Sheet4!G32)*G6/Sheet4!$B$2)</f>
        <v>-100</v>
      </c>
      <c r="G62">
        <f>IF(H19&gt;$A$10,-100,(Sheet4!$A$7*'Engine Deck'!E69-Sheet4!H32)*H6/Sheet4!$B$2)</f>
        <v>3.6822081263165586E-2</v>
      </c>
      <c r="H62">
        <f>IF(I19&gt;$A$10,-100,(Sheet4!$A$7*'Engine Deck'!F69-Sheet4!I32)*I6/Sheet4!$B$2)</f>
        <v>-1.9834879125747866</v>
      </c>
      <c r="I62">
        <f>IF(J19&gt;$A$10,-100,(Sheet4!$A$7*'Engine Deck'!G69-Sheet4!J32)*J6/Sheet4!$B$2)</f>
        <v>-7.7215341347345428</v>
      </c>
      <c r="J62">
        <f>IF(K19&gt;$A$10,-100,(Sheet4!$A$7*'Engine Deck'!H69-Sheet4!K32)*K6/Sheet4!$B$2)</f>
        <v>-17.726357133138166</v>
      </c>
      <c r="K62">
        <f>IF(L19&gt;$A$10,-100,(Sheet4!$A$7*'Engine Deck'!I69-Sheet4!L32)*L6/Sheet4!$B$2)</f>
        <v>-32.685589698781115</v>
      </c>
      <c r="L62">
        <f>IF(M19&gt;$A$10,-100,(Sheet4!$A$7*'Engine Deck'!J69-Sheet4!M32)*M6/Sheet4!$B$2)</f>
        <v>-54.731395569070571</v>
      </c>
      <c r="M62">
        <f>IF(N19&gt;$A$10,-100,(Sheet4!$A$7*'Engine Deck'!K69-Sheet4!N32)*N6/Sheet4!$B$2)</f>
        <v>-81.757700335456093</v>
      </c>
      <c r="N62">
        <f>IF(O19&gt;$A$10,-100,(Sheet4!$A$7*'Engine Deck'!L69-Sheet4!O32)*O6/Sheet4!$B$2)</f>
        <v>-116.16604544763446</v>
      </c>
      <c r="O62" s="6"/>
    </row>
    <row r="63" spans="3:15" x14ac:dyDescent="0.25">
      <c r="C63">
        <v>4000</v>
      </c>
      <c r="D63">
        <f>IF(E20&gt;$A$10,-100,(Sheet4!$A$7*'Engine Deck'!B70-Sheet4!E33)*E7/Sheet4!$B$2)</f>
        <v>-100</v>
      </c>
      <c r="E63">
        <f>IF(F20&gt;$A$10,-100,(Sheet4!$A$7*'Engine Deck'!C70-Sheet4!F33)*F7/Sheet4!$B$2)</f>
        <v>-100</v>
      </c>
      <c r="F63">
        <f>IF(G20&gt;$A$10,-100,(Sheet4!$A$7*'Engine Deck'!D70-Sheet4!G33)*G7/Sheet4!$B$2)</f>
        <v>-100</v>
      </c>
      <c r="G63">
        <f>IF(H20&gt;$A$10,-100,(Sheet4!$A$7*'Engine Deck'!E70-Sheet4!H33)*H7/Sheet4!$B$2)</f>
        <v>0.47390216167146071</v>
      </c>
      <c r="H63">
        <f>IF(I20&gt;$A$10,-100,(Sheet4!$A$7*'Engine Deck'!F70-Sheet4!I33)*I7/Sheet4!$B$2)</f>
        <v>-0.58078733476626987</v>
      </c>
      <c r="I63">
        <f>IF(J20&gt;$A$10,-100,(Sheet4!$A$7*'Engine Deck'!G70-Sheet4!J33)*J7/Sheet4!$B$2)</f>
        <v>-4.9692540206941498</v>
      </c>
      <c r="J63">
        <f>IF(K20&gt;$A$10,-100,(Sheet4!$A$7*'Engine Deck'!H70-Sheet4!K33)*K7/Sheet4!$B$2)</f>
        <v>-13.104661776189204</v>
      </c>
      <c r="K63">
        <f>IF(L20&gt;$A$10,-100,(Sheet4!$A$7*'Engine Deck'!I70-Sheet4!L33)*L7/Sheet4!$B$2)</f>
        <v>-25.551418747143448</v>
      </c>
      <c r="L63">
        <f>IF(M20&gt;$A$10,-100,(Sheet4!$A$7*'Engine Deck'!J70-Sheet4!M33)*M7/Sheet4!$B$2)</f>
        <v>-44.491428993666275</v>
      </c>
      <c r="M63">
        <f>IF(N20&gt;$A$10,-100,(Sheet4!$A$7*'Engine Deck'!K70-Sheet4!N33)*N7/Sheet4!$B$2)</f>
        <v>-67.33902648558238</v>
      </c>
      <c r="N63">
        <f>IF(O20&gt;$A$10,-100,(Sheet4!$A$7*'Engine Deck'!L70-Sheet4!O33)*O7/Sheet4!$B$2)</f>
        <v>-96.564934552217707</v>
      </c>
      <c r="O63" s="6"/>
    </row>
    <row r="64" spans="3:15" x14ac:dyDescent="0.25">
      <c r="C64">
        <v>5000</v>
      </c>
      <c r="D64">
        <f>IF(E21&gt;$A$10,-100,(Sheet4!$A$7*'Engine Deck'!B71-Sheet4!E34)*E8/Sheet4!$B$2)</f>
        <v>-100</v>
      </c>
      <c r="E64">
        <f>IF(F21&gt;$A$10,-100,(Sheet4!$A$7*'Engine Deck'!C71-Sheet4!F34)*F8/Sheet4!$B$2)</f>
        <v>-100</v>
      </c>
      <c r="F64">
        <f>IF(G21&gt;$A$10,-100,(Sheet4!$A$7*'Engine Deck'!D71-Sheet4!G34)*G8/Sheet4!$B$2)</f>
        <v>-100</v>
      </c>
      <c r="G64">
        <f>IF(H21&gt;$A$10,-100,(Sheet4!$A$7*'Engine Deck'!E71-Sheet4!H34)*H8/Sheet4!$B$2)</f>
        <v>0.49551775100861606</v>
      </c>
      <c r="H64">
        <f>IF(I21&gt;$A$10,-100,(Sheet4!$A$7*'Engine Deck'!F71-Sheet4!I34)*I8/Sheet4!$B$2)</f>
        <v>0.26448000224227147</v>
      </c>
      <c r="I64">
        <f>IF(J21&gt;$A$10,-100,(Sheet4!$A$7*'Engine Deck'!G71-Sheet4!J34)*J8/Sheet4!$B$2)</f>
        <v>-2.971319659505133</v>
      </c>
      <c r="J64">
        <f>IF(K21&gt;$A$10,-100,(Sheet4!$A$7*'Engine Deck'!H71-Sheet4!K34)*K8/Sheet4!$B$2)</f>
        <v>-9.4991947935451737</v>
      </c>
      <c r="K64">
        <f>IF(L21&gt;$A$10,-100,(Sheet4!$A$7*'Engine Deck'!I71-Sheet4!L34)*L8/Sheet4!$B$2)</f>
        <v>-19.77258379065384</v>
      </c>
      <c r="L64">
        <f>IF(M21&gt;$A$10,-100,(Sheet4!$A$7*'Engine Deck'!J71-Sheet4!M34)*M8/Sheet4!$B$2)</f>
        <v>-36.062826466425861</v>
      </c>
      <c r="M64">
        <f>IF(N21&gt;$A$10,-100,(Sheet4!$A$7*'Engine Deck'!K71-Sheet4!N34)*N8/Sheet4!$B$2)</f>
        <v>-55.262658831089588</v>
      </c>
      <c r="N64">
        <f>IF(O21&gt;$A$10,-100,(Sheet4!$A$7*'Engine Deck'!L71-Sheet4!O34)*O8/Sheet4!$B$2)</f>
        <v>-79.956419913155713</v>
      </c>
      <c r="O64" s="6"/>
    </row>
    <row r="65" spans="3:15" x14ac:dyDescent="0.25">
      <c r="C65">
        <v>6000</v>
      </c>
      <c r="D65">
        <f>IF(E22&gt;$A$10,-100,(Sheet4!$A$7*'Engine Deck'!B72-Sheet4!E35)*E9/Sheet4!$B$2)</f>
        <v>-100</v>
      </c>
      <c r="E65">
        <f>IF(F22&gt;$A$10,-100,(Sheet4!$A$7*'Engine Deck'!C72-Sheet4!F35)*F9/Sheet4!$B$2)</f>
        <v>-100</v>
      </c>
      <c r="F65">
        <f>IF(G22&gt;$A$10,-100,(Sheet4!$A$7*'Engine Deck'!D72-Sheet4!G35)*G9/Sheet4!$B$2)</f>
        <v>-100</v>
      </c>
      <c r="G65">
        <f>IF(H22&gt;$A$10,-100,(Sheet4!$A$7*'Engine Deck'!E72-Sheet4!H35)*H9/Sheet4!$B$2)</f>
        <v>0.15500505570456605</v>
      </c>
      <c r="H65">
        <f>IF(I22&gt;$A$10,-100,(Sheet4!$A$7*'Engine Deck'!F72-Sheet4!I35)*I9/Sheet4!$B$2)</f>
        <v>0.62752348292678861</v>
      </c>
      <c r="I65">
        <f>IF(J22&gt;$A$10,-100,(Sheet4!$A$7*'Engine Deck'!G72-Sheet4!J35)*J9/Sheet4!$B$2)</f>
        <v>-1.6312530862659764</v>
      </c>
      <c r="J65">
        <f>IF(K22&gt;$A$10,-100,(Sheet4!$A$7*'Engine Deck'!H72-Sheet4!K35)*K9/Sheet4!$B$2)</f>
        <v>-6.7917455799871691</v>
      </c>
      <c r="K65">
        <f>IF(L22&gt;$A$10,-100,(Sheet4!$A$7*'Engine Deck'!I72-Sheet4!L35)*L9/Sheet4!$B$2)</f>
        <v>-15.207920578184904</v>
      </c>
      <c r="L65">
        <f>IF(M22&gt;$A$10,-100,(Sheet4!$A$7*'Engine Deck'!J72-Sheet4!M35)*M9/Sheet4!$B$2)</f>
        <v>-29.28285551525726</v>
      </c>
      <c r="M65">
        <f>IF(N22&gt;$A$10,-100,(Sheet4!$A$7*'Engine Deck'!K72-Sheet4!N35)*N9/Sheet4!$B$2)</f>
        <v>-45.338234594815169</v>
      </c>
      <c r="N65">
        <f>IF(O22&gt;$A$10,-100,(Sheet4!$A$7*'Engine Deck'!L72-Sheet4!O35)*O9/Sheet4!$B$2)</f>
        <v>-66.119532940286405</v>
      </c>
      <c r="O65" s="6"/>
    </row>
    <row r="66" spans="3:15" x14ac:dyDescent="0.25">
      <c r="C66">
        <v>7000</v>
      </c>
      <c r="D66">
        <f>IF(E23&gt;$A$10,-100,(Sheet4!$A$7*'Engine Deck'!B73-Sheet4!E36)*E10/Sheet4!$B$2)</f>
        <v>-100</v>
      </c>
      <c r="E66">
        <f>IF(F23&gt;$A$10,-100,(Sheet4!$A$7*'Engine Deck'!C73-Sheet4!F36)*F10/Sheet4!$B$2)</f>
        <v>-100</v>
      </c>
      <c r="F66">
        <f>IF(G23&gt;$A$10,-100,(Sheet4!$A$7*'Engine Deck'!D73-Sheet4!G36)*G10/Sheet4!$B$2)</f>
        <v>-100</v>
      </c>
      <c r="G66">
        <f>IF(H23&gt;$A$10,-100,(Sheet4!$A$7*'Engine Deck'!E73-Sheet4!H36)*H10/Sheet4!$B$2)</f>
        <v>-0.51755150040718445</v>
      </c>
      <c r="H66">
        <f>IF(I23&gt;$A$10,-100,(Sheet4!$A$7*'Engine Deck'!F73-Sheet4!I36)*I10/Sheet4!$B$2)</f>
        <v>0.5719908760448299</v>
      </c>
      <c r="I66">
        <f>IF(J23&gt;$A$10,-100,(Sheet4!$A$7*'Engine Deck'!G73-Sheet4!J36)*J10/Sheet4!$B$2)</f>
        <v>-0.84472301828294516</v>
      </c>
      <c r="J66">
        <f>IF(K23&gt;$A$10,-100,(Sheet4!$A$7*'Engine Deck'!H73-Sheet4!K36)*K10/Sheet4!$B$2)</f>
        <v>-4.8263364840900662</v>
      </c>
      <c r="K66">
        <f>IF(L23&gt;$A$10,-100,(Sheet4!$A$7*'Engine Deck'!I73-Sheet4!L36)*L10/Sheet4!$B$2)</f>
        <v>-11.635666911242804</v>
      </c>
      <c r="L66">
        <f>IF(M23&gt;$A$10,-100,(Sheet4!$A$7*'Engine Deck'!J73-Sheet4!M36)*M10/Sheet4!$B$2)</f>
        <v>-23.854718098405908</v>
      </c>
      <c r="M66">
        <f>IF(N23&gt;$A$10,-100,(Sheet4!$A$7*'Engine Deck'!K73-Sheet4!N36)*N10/Sheet4!$B$2)</f>
        <v>-37.165279882986205</v>
      </c>
      <c r="N66">
        <f>IF(O23&gt;$A$10,-100,(Sheet4!$A$7*'Engine Deck'!L73-Sheet4!O36)*O10/Sheet4!$B$2)</f>
        <v>-54.527500005349694</v>
      </c>
      <c r="O66" s="6"/>
    </row>
    <row r="67" spans="3:15" x14ac:dyDescent="0.25">
      <c r="C67">
        <v>8000</v>
      </c>
      <c r="D67">
        <f>IF(E24&gt;$A$10,-100,(Sheet4!$A$7*'Engine Deck'!B74-Sheet4!E37)*E11/Sheet4!$B$2)</f>
        <v>-100</v>
      </c>
      <c r="E67">
        <f>IF(F24&gt;$A$10,-100,(Sheet4!$A$7*'Engine Deck'!C74-Sheet4!F37)*F11/Sheet4!$B$2)</f>
        <v>-100</v>
      </c>
      <c r="F67">
        <f>IF(G24&gt;$A$10,-100,(Sheet4!$A$7*'Engine Deck'!D74-Sheet4!G37)*G11/Sheet4!$B$2)</f>
        <v>-100</v>
      </c>
      <c r="G67">
        <f>IF(H24&gt;$A$10,-100,(Sheet4!$A$7*'Engine Deck'!E74-Sheet4!H37)*H11/Sheet4!$B$2)</f>
        <v>-1.4922167554495225</v>
      </c>
      <c r="H67">
        <f>IF(I24&gt;$A$10,-100,(Sheet4!$A$7*'Engine Deck'!F74-Sheet4!I37)*I11/Sheet4!$B$2)</f>
        <v>0.14669269076064165</v>
      </c>
      <c r="I67">
        <f>IF(J24&gt;$A$10,-100,(Sheet4!$A$7*'Engine Deck'!G74-Sheet4!J37)*J11/Sheet4!$B$2)</f>
        <v>-0.54526787299919044</v>
      </c>
      <c r="J67">
        <f>IF(K24&gt;$A$10,-100,(Sheet4!$A$7*'Engine Deck'!H74-Sheet4!K37)*K11/Sheet4!$B$2)</f>
        <v>-3.5187662523158716</v>
      </c>
      <c r="K67">
        <f>IF(L24&gt;$A$10,-100,(Sheet4!$A$7*'Engine Deck'!I74-Sheet4!L37)*L11/Sheet4!$B$2)</f>
        <v>-8.952982061373147</v>
      </c>
      <c r="L67">
        <f>IF(M24&gt;$A$10,-100,(Sheet4!$A$7*'Engine Deck'!J74-Sheet4!M37)*M11/Sheet4!$B$2)</f>
        <v>-19.661056749916003</v>
      </c>
      <c r="M67">
        <f>IF(N24&gt;$A$10,-100,(Sheet4!$A$7*'Engine Deck'!K74-Sheet4!N37)*N11/Sheet4!$B$2)</f>
        <v>-30.603568605560316</v>
      </c>
      <c r="N67">
        <f>IF(O24&gt;$A$10,-100,(Sheet4!$A$7*'Engine Deck'!L74-Sheet4!O37)*O11/Sheet4!$B$2)</f>
        <v>-45.0147434626668</v>
      </c>
      <c r="O67" s="6"/>
    </row>
    <row r="68" spans="3:15" x14ac:dyDescent="0.25">
      <c r="C68">
        <v>9000</v>
      </c>
      <c r="D68">
        <f>IF(E25&gt;$A$10,-100,(Sheet4!$A$7*'Engine Deck'!B75-Sheet4!E38)*E12/Sheet4!$B$2)</f>
        <v>-100</v>
      </c>
      <c r="E68">
        <f>IF(F25&gt;$A$10,-100,(Sheet4!$A$7*'Engine Deck'!C75-Sheet4!F38)*F12/Sheet4!$B$2)</f>
        <v>-100</v>
      </c>
      <c r="F68">
        <f>IF(G25&gt;$A$10,-100,(Sheet4!$A$7*'Engine Deck'!D75-Sheet4!G38)*G12/Sheet4!$B$2)</f>
        <v>-100</v>
      </c>
      <c r="G68">
        <f>IF(H25&gt;$A$10,-100,(Sheet4!$A$7*'Engine Deck'!E75-Sheet4!H38)*H12/Sheet4!$B$2)</f>
        <v>-100</v>
      </c>
      <c r="H68">
        <f>IF(I25&gt;$A$10,-100,(Sheet4!$A$7*'Engine Deck'!F75-Sheet4!I38)*I12/Sheet4!$B$2)</f>
        <v>-0.60832169585659446</v>
      </c>
      <c r="I68">
        <f>IF(J25&gt;$A$10,-100,(Sheet4!$A$7*'Engine Deck'!G75-Sheet4!J38)*J12/Sheet4!$B$2)</f>
        <v>-0.66514372758197171</v>
      </c>
      <c r="J68">
        <f>IF(K25&gt;$A$10,-100,(Sheet4!$A$7*'Engine Deck'!H75-Sheet4!K38)*K12/Sheet4!$B$2)</f>
        <v>-2.7688516920129098</v>
      </c>
      <c r="K68">
        <f>IF(L25&gt;$A$10,-100,(Sheet4!$A$7*'Engine Deck'!I75-Sheet4!L38)*L12/Sheet4!$B$2)</f>
        <v>-7.0204327834011648</v>
      </c>
      <c r="L68">
        <f>IF(M25&gt;$A$10,-100,(Sheet4!$A$7*'Engine Deck'!J75-Sheet4!M38)*M12/Sheet4!$B$2)</f>
        <v>-16.524269094036494</v>
      </c>
      <c r="M68">
        <f>IF(N25&gt;$A$10,-100,(Sheet4!$A$7*'Engine Deck'!K75-Sheet4!N38)*N12/Sheet4!$B$2)</f>
        <v>-25.416395135825553</v>
      </c>
      <c r="N68">
        <f>IF(O25&gt;$A$10,-100,(Sheet4!$A$7*'Engine Deck'!L75-Sheet4!O38)*O12/Sheet4!$B$2)</f>
        <v>-37.273864869412279</v>
      </c>
      <c r="O68" s="6"/>
    </row>
    <row r="69" spans="3:15" x14ac:dyDescent="0.25">
      <c r="C69">
        <v>10000</v>
      </c>
      <c r="D69">
        <f>IF(E26&gt;$A$10,-100,(Sheet4!$A$7*'Engine Deck'!B76-Sheet4!E39)*E13/Sheet4!$B$2)</f>
        <v>-100</v>
      </c>
      <c r="E69">
        <f>IF(F26&gt;$A$10,-100,(Sheet4!$A$7*'Engine Deck'!C76-Sheet4!F39)*F13/Sheet4!$B$2)</f>
        <v>-100</v>
      </c>
      <c r="F69">
        <f>IF(G26&gt;$A$10,-100,(Sheet4!$A$7*'Engine Deck'!D76-Sheet4!G39)*G13/Sheet4!$B$2)</f>
        <v>-100</v>
      </c>
      <c r="G69">
        <f>IF(H26&gt;$A$10,-100,(Sheet4!$A$7*'Engine Deck'!E76-Sheet4!H39)*H13/Sheet4!$B$2)</f>
        <v>-100</v>
      </c>
      <c r="H69">
        <f>IF(I26&gt;$A$10,-100,(Sheet4!$A$7*'Engine Deck'!F76-Sheet4!I39)*I13/Sheet4!$B$2)</f>
        <v>-1.6797582428467932</v>
      </c>
      <c r="I69">
        <f>IF(J26&gt;$A$10,-100,(Sheet4!$A$7*'Engine Deck'!G76-Sheet4!J39)*J13/Sheet4!$B$2)</f>
        <v>-1.1733626454667849</v>
      </c>
      <c r="J69">
        <f>IF(K26&gt;$A$10,-100,(Sheet4!$A$7*'Engine Deck'!H76-Sheet4!K39)*K13/Sheet4!$B$2)</f>
        <v>-2.526331824747964</v>
      </c>
      <c r="K69">
        <f>IF(L26&gt;$A$10,-100,(Sheet4!$A$7*'Engine Deck'!I76-Sheet4!L39)*L13/Sheet4!$B$2)</f>
        <v>-5.7654876070095336</v>
      </c>
      <c r="L69">
        <f>IF(M26&gt;$A$10,-100,(Sheet4!$A$7*'Engine Deck'!J76-Sheet4!M39)*M13/Sheet4!$B$2)</f>
        <v>-14.355849711994018</v>
      </c>
      <c r="M69">
        <f>IF(N26&gt;$A$10,-100,(Sheet4!$A$7*'Engine Deck'!K76-Sheet4!N39)*N13/Sheet4!$B$2)</f>
        <v>-21.482677535056943</v>
      </c>
      <c r="N69">
        <f>IF(O26&gt;$A$10,-100,(Sheet4!$A$7*'Engine Deck'!L76-Sheet4!O39)*O13/Sheet4!$B$2)</f>
        <v>-31.145461554713318</v>
      </c>
      <c r="O69" s="6"/>
    </row>
    <row r="72" spans="3:15" x14ac:dyDescent="0.25">
      <c r="C72" t="s">
        <v>38</v>
      </c>
      <c r="D72" s="5" t="s">
        <v>0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3:15" x14ac:dyDescent="0.25">
      <c r="C73">
        <v>0.7</v>
      </c>
      <c r="D73">
        <v>0</v>
      </c>
      <c r="E73">
        <v>0.1</v>
      </c>
      <c r="F73">
        <v>0.2</v>
      </c>
      <c r="G73">
        <v>0.3</v>
      </c>
      <c r="H73">
        <v>0.4</v>
      </c>
      <c r="I73">
        <v>0.5</v>
      </c>
      <c r="J73">
        <v>0.6</v>
      </c>
      <c r="K73">
        <v>0.7</v>
      </c>
      <c r="L73">
        <v>0.8</v>
      </c>
      <c r="M73">
        <v>0.9</v>
      </c>
      <c r="N73">
        <v>1</v>
      </c>
    </row>
    <row r="74" spans="3:15" x14ac:dyDescent="0.25">
      <c r="C74">
        <v>0</v>
      </c>
      <c r="D74">
        <f>IF(E16&gt;$A$10,-100,(Sheet4!$A$7*'Engine Deck'!B81-Sheet4!E29)*E3/Sheet4!$B$2)</f>
        <v>-100</v>
      </c>
      <c r="E74">
        <f>IF(F16&gt;$A$10,-100,(Sheet4!$A$7*'Engine Deck'!C81-Sheet4!F29)*F3/Sheet4!$B$2)</f>
        <v>-100</v>
      </c>
      <c r="F74">
        <f>IF(G16&gt;$A$10,-100,(Sheet4!$A$7*'Engine Deck'!D81-Sheet4!G29)*G3/Sheet4!$B$2)</f>
        <v>4.9232534566250346</v>
      </c>
      <c r="G74">
        <f>IF(H16&gt;$A$10,-100,(Sheet4!$A$7*'Engine Deck'!E81-Sheet4!H29)*H3/Sheet4!$B$2)</f>
        <v>6.6974375521322935</v>
      </c>
      <c r="H74">
        <f>IF(I16&gt;$A$10,-100,(Sheet4!$A$7*'Engine Deck'!F81-Sheet4!I29)*I3/Sheet4!$B$2)</f>
        <v>3.7203784934418831</v>
      </c>
      <c r="I74">
        <f>IF(J16&gt;$A$10,-100,(Sheet4!$A$7*'Engine Deck'!G81-Sheet4!J29)*J3/Sheet4!$B$2)</f>
        <v>-4.6524335039103688</v>
      </c>
      <c r="J74">
        <f>IF(K16&gt;$A$10,-100,(Sheet4!$A$7*'Engine Deck'!H81-Sheet4!K29)*K3/Sheet4!$B$2)</f>
        <v>-19.403055814580988</v>
      </c>
      <c r="K74">
        <f>IF(L16&gt;$A$10,-100,(Sheet4!$A$7*'Engine Deck'!I81-Sheet4!L29)*L3/Sheet4!$B$2)</f>
        <v>-41.634719207763212</v>
      </c>
      <c r="L74">
        <f>IF(M16&gt;$A$10,-100,(Sheet4!$A$7*'Engine Deck'!J81-Sheet4!M29)*M3/Sheet4!$B$2)</f>
        <v>-73.508991550317504</v>
      </c>
      <c r="M74">
        <f>IF(N16&gt;$A$10,-100,(Sheet4!$A$7*'Engine Deck'!K81-Sheet4!N29)*N3/Sheet4!$B$2)</f>
        <v>-114.17488683993082</v>
      </c>
      <c r="N74">
        <f>IF(O16&gt;$A$10,-100,(Sheet4!$A$7*'Engine Deck'!L81-Sheet4!O29)*O3/Sheet4!$B$2)</f>
        <v>-166.03995816659807</v>
      </c>
      <c r="O74" s="6" t="s">
        <v>41</v>
      </c>
    </row>
    <row r="75" spans="3:15" x14ac:dyDescent="0.25">
      <c r="C75">
        <v>1000</v>
      </c>
      <c r="D75">
        <f>IF(E17&gt;$A$10,-100,(Sheet4!$A$7*'Engine Deck'!B82-Sheet4!E30)*E4/Sheet4!$B$2)</f>
        <v>-100</v>
      </c>
      <c r="E75">
        <f>IF(F17&gt;$A$10,-100,(Sheet4!$A$7*'Engine Deck'!C82-Sheet4!F30)*F4/Sheet4!$B$2)</f>
        <v>-100</v>
      </c>
      <c r="F75">
        <f>IF(G17&gt;$A$10,-100,(Sheet4!$A$7*'Engine Deck'!D82-Sheet4!G30)*G4/Sheet4!$B$2)</f>
        <v>4.8141095971626555</v>
      </c>
      <c r="G75">
        <f>IF(H17&gt;$A$10,-100,(Sheet4!$A$7*'Engine Deck'!E82-Sheet4!H30)*H4/Sheet4!$B$2)</f>
        <v>7.3995730240062034</v>
      </c>
      <c r="H75">
        <f>IF(I17&gt;$A$10,-100,(Sheet4!$A$7*'Engine Deck'!F82-Sheet4!I30)*I4/Sheet4!$B$2)</f>
        <v>5.6234658247987905</v>
      </c>
      <c r="I75">
        <f>IF(J17&gt;$A$10,-100,(Sheet4!$A$7*'Engine Deck'!G82-Sheet4!J30)*J4/Sheet4!$B$2)</f>
        <v>-0.95491354097798642</v>
      </c>
      <c r="J75">
        <f>IF(K17&gt;$A$10,-100,(Sheet4!$A$7*'Engine Deck'!H82-Sheet4!K30)*K4/Sheet4!$B$2)</f>
        <v>-13.144308739440694</v>
      </c>
      <c r="K75">
        <f>IF(L17&gt;$A$10,-100,(Sheet4!$A$7*'Engine Deck'!I82-Sheet4!L30)*L4/Sheet4!$B$2)</f>
        <v>-31.881367899339029</v>
      </c>
      <c r="L75">
        <f>IF(M17&gt;$A$10,-100,(Sheet4!$A$7*'Engine Deck'!J82-Sheet4!M30)*M4/Sheet4!$B$2)</f>
        <v>-59.273823526112629</v>
      </c>
      <c r="M75">
        <f>IF(N17&gt;$A$10,-100,(Sheet4!$A$7*'Engine Deck'!K82-Sheet4!N30)*N4/Sheet4!$B$2)</f>
        <v>-94.062366146651144</v>
      </c>
      <c r="N75">
        <f>IF(O17&gt;$A$10,-100,(Sheet4!$A$7*'Engine Deck'!L82-Sheet4!O30)*O4/Sheet4!$B$2)</f>
        <v>-138.60762097658017</v>
      </c>
      <c r="O75" s="6"/>
    </row>
    <row r="76" spans="3:15" x14ac:dyDescent="0.25">
      <c r="C76">
        <v>2000</v>
      </c>
      <c r="D76">
        <f>IF(E18&gt;$A$10,-100,(Sheet4!$A$7*'Engine Deck'!B83-Sheet4!E31)*E5/Sheet4!$B$2)</f>
        <v>-100</v>
      </c>
      <c r="E76">
        <f>IF(F18&gt;$A$10,-100,(Sheet4!$A$7*'Engine Deck'!C83-Sheet4!F31)*F5/Sheet4!$B$2)</f>
        <v>-100</v>
      </c>
      <c r="F76">
        <f>IF(G18&gt;$A$10,-100,(Sheet4!$A$7*'Engine Deck'!D83-Sheet4!G31)*G5/Sheet4!$B$2)</f>
        <v>4.3753224443500667</v>
      </c>
      <c r="G76">
        <f>IF(H18&gt;$A$10,-100,(Sheet4!$A$7*'Engine Deck'!E83-Sheet4!H31)*H5/Sheet4!$B$2)</f>
        <v>7.6316704029426532</v>
      </c>
      <c r="H76">
        <f>IF(I18&gt;$A$10,-100,(Sheet4!$A$7*'Engine Deck'!F83-Sheet4!I31)*I5/Sheet4!$B$2)</f>
        <v>6.8578722481527787</v>
      </c>
      <c r="I76">
        <f>IF(J18&gt;$A$10,-100,(Sheet4!$A$7*'Engine Deck'!G83-Sheet4!J31)*J5/Sheet4!$B$2)</f>
        <v>1.8051319488598376</v>
      </c>
      <c r="J76">
        <f>IF(K18&gt;$A$10,-100,(Sheet4!$A$7*'Engine Deck'!H83-Sheet4!K31)*K5/Sheet4!$B$2)</f>
        <v>-8.1785272966364069</v>
      </c>
      <c r="K76">
        <f>IF(L18&gt;$A$10,-100,(Sheet4!$A$7*'Engine Deck'!I83-Sheet4!L31)*L5/Sheet4!$B$2)</f>
        <v>-23.881097946945168</v>
      </c>
      <c r="L76">
        <f>IF(M18&gt;$A$10,-100,(Sheet4!$A$7*'Engine Deck'!J83-Sheet4!M31)*M5/Sheet4!$B$2)</f>
        <v>-47.391160710158999</v>
      </c>
      <c r="M76">
        <f>IF(N18&gt;$A$10,-100,(Sheet4!$A$7*'Engine Deck'!K83-Sheet4!N31)*N5/Sheet4!$B$2)</f>
        <v>-77.026512336497788</v>
      </c>
      <c r="N76">
        <f>IF(O18&gt;$A$10,-100,(Sheet4!$A$7*'Engine Deck'!L83-Sheet4!O31)*O5/Sheet4!$B$2)</f>
        <v>-115.13895376408959</v>
      </c>
      <c r="O76" s="6"/>
    </row>
    <row r="77" spans="3:15" x14ac:dyDescent="0.25">
      <c r="C77">
        <v>3000</v>
      </c>
      <c r="D77">
        <f>IF(E19&gt;$A$10,-100,(Sheet4!$A$7*'Engine Deck'!B84-Sheet4!E32)*E6/Sheet4!$B$2)</f>
        <v>-100</v>
      </c>
      <c r="E77">
        <f>IF(F19&gt;$A$10,-100,(Sheet4!$A$7*'Engine Deck'!C84-Sheet4!F32)*F6/Sheet4!$B$2)</f>
        <v>-100</v>
      </c>
      <c r="F77">
        <f>IF(G19&gt;$A$10,-100,(Sheet4!$A$7*'Engine Deck'!D84-Sheet4!G32)*G6/Sheet4!$B$2)</f>
        <v>-100</v>
      </c>
      <c r="G77">
        <f>IF(H19&gt;$A$10,-100,(Sheet4!$A$7*'Engine Deck'!E84-Sheet4!H32)*H6/Sheet4!$B$2)</f>
        <v>7.4507826765893483</v>
      </c>
      <c r="H77">
        <f>IF(I19&gt;$A$10,-100,(Sheet4!$A$7*'Engine Deck'!F84-Sheet4!I32)*I6/Sheet4!$B$2)</f>
        <v>7.5103067325001174</v>
      </c>
      <c r="I77">
        <f>IF(J19&gt;$A$10,-100,(Sheet4!$A$7*'Engine Deck'!G84-Sheet4!J32)*J6/Sheet4!$B$2)</f>
        <v>3.7489844680539965</v>
      </c>
      <c r="J77">
        <f>IF(K19&gt;$A$10,-100,(Sheet4!$A$7*'Engine Deck'!H84-Sheet4!K32)*K6/Sheet4!$B$2)</f>
        <v>-4.3425248151089821</v>
      </c>
      <c r="K77">
        <f>IF(L19&gt;$A$10,-100,(Sheet4!$A$7*'Engine Deck'!I84-Sheet4!L32)*L6/Sheet4!$B$2)</f>
        <v>-17.419372212888</v>
      </c>
      <c r="L77">
        <f>IF(M19&gt;$A$10,-100,(Sheet4!$A$7*'Engine Deck'!J84-Sheet4!M32)*M6/Sheet4!$B$2)</f>
        <v>-37.586888758045511</v>
      </c>
      <c r="M77">
        <f>IF(N19&gt;$A$10,-100,(Sheet4!$A$7*'Engine Deck'!K84-Sheet4!N32)*N6/Sheet4!$B$2)</f>
        <v>-62.71663945482711</v>
      </c>
      <c r="N77">
        <f>IF(O19&gt;$A$10,-100,(Sheet4!$A$7*'Engine Deck'!L84-Sheet4!O32)*O6/Sheet4!$B$2)</f>
        <v>-95.191382859678285</v>
      </c>
      <c r="O77" s="6"/>
    </row>
    <row r="78" spans="3:15" x14ac:dyDescent="0.25">
      <c r="C78">
        <v>4000</v>
      </c>
      <c r="D78">
        <f>IF(E20&gt;$A$10,-100,(Sheet4!$A$7*'Engine Deck'!B85-Sheet4!E33)*E7/Sheet4!$B$2)</f>
        <v>-100</v>
      </c>
      <c r="E78">
        <f>IF(F20&gt;$A$10,-100,(Sheet4!$A$7*'Engine Deck'!C85-Sheet4!F33)*F7/Sheet4!$B$2)</f>
        <v>-100</v>
      </c>
      <c r="F78">
        <f>IF(G20&gt;$A$10,-100,(Sheet4!$A$7*'Engine Deck'!D85-Sheet4!G33)*G7/Sheet4!$B$2)</f>
        <v>-100</v>
      </c>
      <c r="G78">
        <f>IF(H20&gt;$A$10,-100,(Sheet4!$A$7*'Engine Deck'!E85-Sheet4!H33)*H7/Sheet4!$B$2)</f>
        <v>6.9140055990756943</v>
      </c>
      <c r="H78">
        <f>IF(I20&gt;$A$10,-100,(Sheet4!$A$7*'Engine Deck'!F85-Sheet4!I33)*I7/Sheet4!$B$2)</f>
        <v>7.665954570808541</v>
      </c>
      <c r="I78">
        <f>IF(J20&gt;$A$10,-100,(Sheet4!$A$7*'Engine Deck'!G85-Sheet4!J33)*J7/Sheet4!$B$2)</f>
        <v>4.9945602365864721</v>
      </c>
      <c r="J78">
        <f>IF(K20&gt;$A$10,-100,(Sheet4!$A$7*'Engine Deck'!H85-Sheet4!K33)*K7/Sheet4!$B$2)</f>
        <v>-1.4788561883744344</v>
      </c>
      <c r="K78">
        <f>IF(L20&gt;$A$10,-100,(Sheet4!$A$7*'Engine Deck'!I85-Sheet4!L33)*L7/Sheet4!$B$2)</f>
        <v>-12.290487771999064</v>
      </c>
      <c r="L78">
        <f>IF(M20&gt;$A$10,-100,(Sheet4!$A$7*'Engine Deck'!J85-Sheet4!M33)*M7/Sheet4!$B$2)</f>
        <v>-29.59893046651095</v>
      </c>
      <c r="M78">
        <f>IF(N20&gt;$A$10,-100,(Sheet4!$A$7*'Engine Deck'!K85-Sheet4!N33)*N7/Sheet4!$B$2)</f>
        <v>-50.799094818496549</v>
      </c>
      <c r="N78">
        <f>IF(O20&gt;$A$10,-100,(Sheet4!$A$7*'Engine Deck'!L85-Sheet4!O33)*O7/Sheet4!$B$2)</f>
        <v>-78.345388481761731</v>
      </c>
      <c r="O78" s="6"/>
    </row>
    <row r="79" spans="3:15" x14ac:dyDescent="0.25">
      <c r="C79">
        <v>5000</v>
      </c>
      <c r="D79">
        <f>IF(E21&gt;$A$10,-100,(Sheet4!$A$7*'Engine Deck'!B86-Sheet4!E34)*E8/Sheet4!$B$2)</f>
        <v>-100</v>
      </c>
      <c r="E79">
        <f>IF(F21&gt;$A$10,-100,(Sheet4!$A$7*'Engine Deck'!C86-Sheet4!F34)*F8/Sheet4!$B$2)</f>
        <v>-100</v>
      </c>
      <c r="F79">
        <f>IF(G21&gt;$A$10,-100,(Sheet4!$A$7*'Engine Deck'!D86-Sheet4!G34)*G8/Sheet4!$B$2)</f>
        <v>-100</v>
      </c>
      <c r="G79">
        <f>IF(H21&gt;$A$10,-100,(Sheet4!$A$7*'Engine Deck'!E86-Sheet4!H34)*H8/Sheet4!$B$2)</f>
        <v>6.0694866233360925</v>
      </c>
      <c r="H79">
        <f>IF(I21&gt;$A$10,-100,(Sheet4!$A$7*'Engine Deck'!F86-Sheet4!I34)*I8/Sheet4!$B$2)</f>
        <v>7.4021111174220406</v>
      </c>
      <c r="I79">
        <f>IF(J21&gt;$A$10,-100,(Sheet4!$A$7*'Engine Deck'!G86-Sheet4!J34)*J8/Sheet4!$B$2)</f>
        <v>5.6524533993512351</v>
      </c>
      <c r="J79">
        <f>IF(K21&gt;$A$10,-100,(Sheet4!$A$7*'Engine Deck'!H86-Sheet4!K34)*K8/Sheet4!$B$2)</f>
        <v>0.563047077577572</v>
      </c>
      <c r="K79">
        <f>IF(L21&gt;$A$10,-100,(Sheet4!$A$7*'Engine Deck'!I86-Sheet4!L34)*L8/Sheet4!$B$2)</f>
        <v>-8.2951258286849949</v>
      </c>
      <c r="L79">
        <f>IF(M21&gt;$A$10,-100,(Sheet4!$A$7*'Engine Deck'!J86-Sheet4!M34)*M8/Sheet4!$B$2)</f>
        <v>-23.173231752865625</v>
      </c>
      <c r="M79">
        <f>IF(N21&gt;$A$10,-100,(Sheet4!$A$7*'Engine Deck'!K86-Sheet4!N34)*N8/Sheet4!$B$2)</f>
        <v>-40.947195553388028</v>
      </c>
      <c r="N79">
        <f>IF(O21&gt;$A$10,-100,(Sheet4!$A$7*'Engine Deck'!L86-Sheet4!O34)*O8/Sheet4!$B$2)</f>
        <v>-64.187234891246902</v>
      </c>
      <c r="O79" s="6"/>
    </row>
    <row r="80" spans="3:15" x14ac:dyDescent="0.25">
      <c r="C80">
        <v>6000</v>
      </c>
      <c r="D80">
        <f>IF(E22&gt;$A$10,-100,(Sheet4!$A$7*'Engine Deck'!B87-Sheet4!E35)*E9/Sheet4!$B$2)</f>
        <v>-100</v>
      </c>
      <c r="E80">
        <f>IF(F22&gt;$A$10,-100,(Sheet4!$A$7*'Engine Deck'!C87-Sheet4!F35)*F9/Sheet4!$B$2)</f>
        <v>-100</v>
      </c>
      <c r="F80">
        <f>IF(G22&gt;$A$10,-100,(Sheet4!$A$7*'Engine Deck'!D87-Sheet4!G35)*G9/Sheet4!$B$2)</f>
        <v>-100</v>
      </c>
      <c r="G80">
        <f>IF(H22&gt;$A$10,-100,(Sheet4!$A$7*'Engine Deck'!E87-Sheet4!H35)*H9/Sheet4!$B$2)</f>
        <v>4.9638470110147734</v>
      </c>
      <c r="H80">
        <f>IF(I22&gt;$A$10,-100,(Sheet4!$A$7*'Engine Deck'!F87-Sheet4!I35)*I9/Sheet4!$B$2)</f>
        <v>6.785387072479228</v>
      </c>
      <c r="I80">
        <f>IF(J22&gt;$A$10,-100,(Sheet4!$A$7*'Engine Deck'!G87-Sheet4!J35)*J9/Sheet4!$B$2)</f>
        <v>5.8087528858495219</v>
      </c>
      <c r="J80">
        <f>IF(K22&gt;$A$10,-100,(Sheet4!$A$7*'Engine Deck'!H87-Sheet4!K35)*K9/Sheet4!$B$2)</f>
        <v>1.8892736331914008</v>
      </c>
      <c r="K80">
        <f>IF(L22&gt;$A$10,-100,(Sheet4!$A$7*'Engine Deck'!I87-Sheet4!L35)*L9/Sheet4!$B$2)</f>
        <v>-5.3059489934784674</v>
      </c>
      <c r="L80">
        <f>IF(M22&gt;$A$10,-100,(Sheet4!$A$7*'Engine Deck'!J87-Sheet4!M35)*M9/Sheet4!$B$2)</f>
        <v>-18.162588203891588</v>
      </c>
      <c r="M80">
        <f>IF(N22&gt;$A$10,-100,(Sheet4!$A$7*'Engine Deck'!K87-Sheet4!N35)*N9/Sheet4!$B$2)</f>
        <v>-32.98782468110344</v>
      </c>
      <c r="N80">
        <f>IF(O22&gt;$A$10,-100,(Sheet4!$A$7*'Engine Deck'!L87-Sheet4!O35)*O9/Sheet4!$B$2)</f>
        <v>-52.514950591275216</v>
      </c>
      <c r="O80" s="6"/>
    </row>
    <row r="81" spans="3:15" x14ac:dyDescent="0.25">
      <c r="C81">
        <v>7000</v>
      </c>
      <c r="D81">
        <f>IF(E23&gt;$A$10,-100,(Sheet4!$A$7*'Engine Deck'!B88-Sheet4!E36)*E10/Sheet4!$B$2)</f>
        <v>-100</v>
      </c>
      <c r="E81">
        <f>IF(F23&gt;$A$10,-100,(Sheet4!$A$7*'Engine Deck'!C88-Sheet4!F36)*F10/Sheet4!$B$2)</f>
        <v>-100</v>
      </c>
      <c r="F81">
        <f>IF(G23&gt;$A$10,-100,(Sheet4!$A$7*'Engine Deck'!D88-Sheet4!G36)*G10/Sheet4!$B$2)</f>
        <v>-100</v>
      </c>
      <c r="G81">
        <f>IF(H23&gt;$A$10,-100,(Sheet4!$A$7*'Engine Deck'!E88-Sheet4!H36)*H10/Sheet4!$B$2)</f>
        <v>3.6134967538448173</v>
      </c>
      <c r="H81">
        <f>IF(I23&gt;$A$10,-100,(Sheet4!$A$7*'Engine Deck'!F88-Sheet4!I36)*I10/Sheet4!$B$2)</f>
        <v>5.8619196921607255</v>
      </c>
      <c r="I81">
        <f>IF(J23&gt;$A$10,-100,(Sheet4!$A$7*'Engine Deck'!G88-Sheet4!J36)*J10/Sheet4!$B$2)</f>
        <v>5.5466335636884763</v>
      </c>
      <c r="J81">
        <f>IF(K23&gt;$A$10,-100,(Sheet4!$A$7*'Engine Deck'!H88-Sheet4!K36)*K10/Sheet4!$B$2)</f>
        <v>2.6311157672006651</v>
      </c>
      <c r="K81">
        <f>IF(L23&gt;$A$10,-100,(Sheet4!$A$7*'Engine Deck'!I88-Sheet4!L36)*L10/Sheet4!$B$2)</f>
        <v>-3.129352333055389</v>
      </c>
      <c r="L81">
        <f>IF(M23&gt;$A$10,-100,(Sheet4!$A$7*'Engine Deck'!J88-Sheet4!M36)*M10/Sheet4!$B$2)</f>
        <v>-14.301823391041921</v>
      </c>
      <c r="M81">
        <f>IF(N23&gt;$A$10,-100,(Sheet4!$A$7*'Engine Deck'!K88-Sheet4!N36)*N10/Sheet4!$B$2)</f>
        <v>-26.555627956913646</v>
      </c>
      <c r="N81">
        <f>IF(O23&gt;$A$10,-100,(Sheet4!$A$7*'Engine Deck'!L88-Sheet4!O36)*O10/Sheet4!$B$2)</f>
        <v>-42.840447969744801</v>
      </c>
      <c r="O81" s="6"/>
    </row>
    <row r="82" spans="3:15" x14ac:dyDescent="0.25">
      <c r="C82">
        <v>8000</v>
      </c>
      <c r="D82">
        <f>IF(E24&gt;$A$10,-100,(Sheet4!$A$7*'Engine Deck'!B89-Sheet4!E37)*E11/Sheet4!$B$2)</f>
        <v>-100</v>
      </c>
      <c r="E82">
        <f>IF(F24&gt;$A$10,-100,(Sheet4!$A$7*'Engine Deck'!C89-Sheet4!F37)*F11/Sheet4!$B$2)</f>
        <v>-100</v>
      </c>
      <c r="F82">
        <f>IF(G24&gt;$A$10,-100,(Sheet4!$A$7*'Engine Deck'!D89-Sheet4!G37)*G11/Sheet4!$B$2)</f>
        <v>-100</v>
      </c>
      <c r="G82">
        <f>IF(H24&gt;$A$10,-100,(Sheet4!$A$7*'Engine Deck'!E89-Sheet4!H37)*H11/Sheet4!$B$2)</f>
        <v>2.0419907060625437</v>
      </c>
      <c r="H82">
        <f>IF(I24&gt;$A$10,-100,(Sheet4!$A$7*'Engine Deck'!F89-Sheet4!I37)*I11/Sheet4!$B$2)</f>
        <v>4.672349314001818</v>
      </c>
      <c r="I82">
        <f>IF(J24&gt;$A$10,-100,(Sheet4!$A$7*'Engine Deck'!G89-Sheet4!J37)*J11/Sheet4!$B$2)</f>
        <v>4.9226857143107354</v>
      </c>
      <c r="J82">
        <f>IF(K24&gt;$A$10,-100,(Sheet4!$A$7*'Engine Deck'!H89-Sheet4!K37)*K11/Sheet4!$B$2)</f>
        <v>2.8612568721426186</v>
      </c>
      <c r="K82">
        <f>IF(L24&gt;$A$10,-100,(Sheet4!$A$7*'Engine Deck'!I89-Sheet4!L37)*L11/Sheet4!$B$2)</f>
        <v>-1.6756329233533909</v>
      </c>
      <c r="L82">
        <f>IF(M24&gt;$A$10,-100,(Sheet4!$A$7*'Engine Deck'!J89-Sheet4!M37)*M11/Sheet4!$B$2)</f>
        <v>-11.488334071342958</v>
      </c>
      <c r="M82">
        <f>IF(N24&gt;$A$10,-100,(Sheet4!$A$7*'Engine Deck'!K89-Sheet4!N37)*N11/Sheet4!$B$2)</f>
        <v>-21.526765650625844</v>
      </c>
      <c r="N82">
        <f>IF(O24&gt;$A$10,-100,(Sheet4!$A$7*'Engine Deck'!L89-Sheet4!O37)*O11/Sheet4!$B$2)</f>
        <v>-35.016199760157221</v>
      </c>
      <c r="O82" s="6"/>
    </row>
    <row r="83" spans="3:15" x14ac:dyDescent="0.25">
      <c r="C83">
        <v>9000</v>
      </c>
      <c r="D83">
        <f>IF(E25&gt;$A$10,-100,(Sheet4!$A$7*'Engine Deck'!B90-Sheet4!E38)*E12/Sheet4!$B$2)</f>
        <v>-100</v>
      </c>
      <c r="E83">
        <f>IF(F25&gt;$A$10,-100,(Sheet4!$A$7*'Engine Deck'!C90-Sheet4!F38)*F12/Sheet4!$B$2)</f>
        <v>-100</v>
      </c>
      <c r="F83">
        <f>IF(G25&gt;$A$10,-100,(Sheet4!$A$7*'Engine Deck'!D90-Sheet4!G38)*G12/Sheet4!$B$2)</f>
        <v>-100</v>
      </c>
      <c r="G83">
        <f>IF(H25&gt;$A$10,-100,(Sheet4!$A$7*'Engine Deck'!E90-Sheet4!H38)*H12/Sheet4!$B$2)</f>
        <v>-100</v>
      </c>
      <c r="H83">
        <f>IF(I25&gt;$A$10,-100,(Sheet4!$A$7*'Engine Deck'!F90-Sheet4!I38)*I12/Sheet4!$B$2)</f>
        <v>3.247073066315814</v>
      </c>
      <c r="I83">
        <f>IF(J25&gt;$A$10,-100,(Sheet4!$A$7*'Engine Deck'!G90-Sheet4!J38)*J12/Sheet4!$B$2)</f>
        <v>3.9929912957549676</v>
      </c>
      <c r="J83">
        <f>IF(K25&gt;$A$10,-100,(Sheet4!$A$7*'Engine Deck'!H90-Sheet4!K38)*K12/Sheet4!$B$2)</f>
        <v>2.6662729284139757</v>
      </c>
      <c r="K83">
        <f>IF(L25&gt;$A$10,-100,(Sheet4!$A$7*'Engine Deck'!I90-Sheet4!L38)*L12/Sheet4!$B$2)</f>
        <v>-0.82087853416000001</v>
      </c>
      <c r="L83">
        <f>IF(M25&gt;$A$10,-100,(Sheet4!$A$7*'Engine Deck'!J90-Sheet4!M38)*M12/Sheet4!$B$2)</f>
        <v>-9.5619485225097769</v>
      </c>
      <c r="M83">
        <f>IF(N25&gt;$A$10,-100,(Sheet4!$A$7*'Engine Deck'!K90-Sheet4!N38)*N12/Sheet4!$B$2)</f>
        <v>-17.683890997086234</v>
      </c>
      <c r="N83">
        <f>IF(O25&gt;$A$10,-100,(Sheet4!$A$7*'Engine Deck'!L90-Sheet4!O38)*O12/Sheet4!$B$2)</f>
        <v>-28.756132255310451</v>
      </c>
      <c r="O83" s="6"/>
    </row>
    <row r="84" spans="3:15" x14ac:dyDescent="0.25">
      <c r="C84">
        <v>10000</v>
      </c>
      <c r="D84">
        <f>IF(E26&gt;$A$10,-100,(Sheet4!$A$7*'Engine Deck'!B91-Sheet4!E39)*E13/Sheet4!$B$2)</f>
        <v>-100</v>
      </c>
      <c r="E84">
        <f>IF(F26&gt;$A$10,-100,(Sheet4!$A$7*'Engine Deck'!C91-Sheet4!F39)*F13/Sheet4!$B$2)</f>
        <v>-100</v>
      </c>
      <c r="F84">
        <f>IF(G26&gt;$A$10,-100,(Sheet4!$A$7*'Engine Deck'!D91-Sheet4!G39)*G13/Sheet4!$B$2)</f>
        <v>-100</v>
      </c>
      <c r="G84">
        <f>IF(H26&gt;$A$10,-100,(Sheet4!$A$7*'Engine Deck'!E91-Sheet4!H39)*H13/Sheet4!$B$2)</f>
        <v>-100</v>
      </c>
      <c r="H84">
        <f>IF(I26&gt;$A$10,-100,(Sheet4!$A$7*'Engine Deck'!F91-Sheet4!I39)*I13/Sheet4!$B$2)</f>
        <v>1.5904323707096162</v>
      </c>
      <c r="I84">
        <f>IF(J26&gt;$A$10,-100,(Sheet4!$A$7*'Engine Deck'!G91-Sheet4!J39)*J13/Sheet4!$B$2)</f>
        <v>2.7777215805779325</v>
      </c>
      <c r="J84">
        <f>IF(K26&gt;$A$10,-100,(Sheet4!$A$7*'Engine Deck'!H91-Sheet4!K39)*K13/Sheet4!$B$2)</f>
        <v>2.0838040014506043</v>
      </c>
      <c r="K84">
        <f>IF(L26&gt;$A$10,-100,(Sheet4!$A$7*'Engine Deck'!I91-Sheet4!L39)*L13/Sheet4!$B$2)</f>
        <v>-0.50695369161911008</v>
      </c>
      <c r="L84">
        <f>IF(M26&gt;$A$10,-100,(Sheet4!$A$7*'Engine Deck'!J91-Sheet4!M39)*M13/Sheet4!$B$2)</f>
        <v>-8.4503285433269326</v>
      </c>
      <c r="M84">
        <f>IF(N26&gt;$A$10,-100,(Sheet4!$A$7*'Engine Deck'!K91-Sheet4!N39)*N13/Sheet4!$B$2)</f>
        <v>-14.923877719822716</v>
      </c>
      <c r="N84">
        <f>IF(O26&gt;$A$10,-100,(Sheet4!$A$7*'Engine Deck'!L91-Sheet4!O39)*O13/Sheet4!$B$2)</f>
        <v>-23.920621827088691</v>
      </c>
      <c r="O84" s="6"/>
    </row>
    <row r="87" spans="3:15" x14ac:dyDescent="0.25">
      <c r="C87" t="s">
        <v>38</v>
      </c>
      <c r="D87" s="5" t="s">
        <v>0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3:15" x14ac:dyDescent="0.25">
      <c r="C88">
        <v>0.8</v>
      </c>
      <c r="D88">
        <v>0</v>
      </c>
      <c r="E88">
        <v>0.1</v>
      </c>
      <c r="F88">
        <v>0.2</v>
      </c>
      <c r="G88">
        <v>0.3</v>
      </c>
      <c r="H88">
        <v>0.4</v>
      </c>
      <c r="I88">
        <v>0.5</v>
      </c>
      <c r="J88">
        <v>0.6</v>
      </c>
      <c r="K88">
        <v>0.7</v>
      </c>
      <c r="L88">
        <v>0.8</v>
      </c>
      <c r="M88">
        <v>0.9</v>
      </c>
      <c r="N88">
        <v>1</v>
      </c>
    </row>
    <row r="89" spans="3:15" x14ac:dyDescent="0.25">
      <c r="C89">
        <v>0</v>
      </c>
      <c r="D89">
        <f>IF(E16&gt;$A$10,-100,(Sheet4!$A$7*'Engine Deck'!B96-Sheet4!E29)*E3/Sheet4!$B$2)</f>
        <v>-100</v>
      </c>
      <c r="E89">
        <f>IF(F16&gt;$A$10,-100,(Sheet4!$A$7*'Engine Deck'!C96-Sheet4!F29)*F3/Sheet4!$B$2)</f>
        <v>-100</v>
      </c>
      <c r="F89">
        <f>IF(G16&gt;$A$10,-100,(Sheet4!$A$7*'Engine Deck'!D96-Sheet4!G29)*G3/Sheet4!$B$2)</f>
        <v>12.676030242709979</v>
      </c>
      <c r="G89">
        <f>IF(H16&gt;$A$10,-100,(Sheet4!$A$7*'Engine Deck'!E96-Sheet4!H29)*H3/Sheet4!$B$2)</f>
        <v>17.789497328916859</v>
      </c>
      <c r="H89">
        <f>IF(I16&gt;$A$10,-100,(Sheet4!$A$7*'Engine Deck'!F96-Sheet4!I29)*I3/Sheet4!$B$2)</f>
        <v>17.924087342133841</v>
      </c>
      <c r="I89">
        <f>IF(J16&gt;$A$10,-100,(Sheet4!$A$7*'Engine Deck'!G96-Sheet4!J29)*J3/Sheet4!$B$2)</f>
        <v>12.508660944454737</v>
      </c>
      <c r="J89">
        <f>IF(K16&gt;$A$10,-100,(Sheet4!$A$7*'Engine Deck'!H96-Sheet4!K29)*K3/Sheet4!$B$2)</f>
        <v>0.62055588462707012</v>
      </c>
      <c r="K89">
        <f>IF(L16&gt;$A$10,-100,(Sheet4!$A$7*'Engine Deck'!I96-Sheet4!L29)*L3/Sheet4!$B$2)</f>
        <v>-18.79486259648456</v>
      </c>
      <c r="L89">
        <f>IF(M16&gt;$A$10,-100,(Sheet4!$A$7*'Engine Deck'!J96-Sheet4!M29)*M3/Sheet4!$B$2)</f>
        <v>-47.859017835692789</v>
      </c>
      <c r="M89">
        <f>IF(N16&gt;$A$10,-100,(Sheet4!$A$7*'Engine Deck'!K96-Sheet4!N29)*N3/Sheet4!$B$2)</f>
        <v>-85.687470055644738</v>
      </c>
      <c r="N89">
        <f>IF(O16&gt;$A$10,-100,(Sheet4!$A$7*'Engine Deck'!L96-Sheet4!O29)*O3/Sheet4!$B$2)</f>
        <v>-134.65967117530184</v>
      </c>
      <c r="O89" s="6" t="s">
        <v>41</v>
      </c>
    </row>
    <row r="90" spans="3:15" x14ac:dyDescent="0.25">
      <c r="C90">
        <v>1000</v>
      </c>
      <c r="D90">
        <f>IF(E17&gt;$A$10,-100,(Sheet4!$A$7*'Engine Deck'!B97-Sheet4!E30)*E4/Sheet4!$B$2)</f>
        <v>-100</v>
      </c>
      <c r="E90">
        <f>IF(F17&gt;$A$10,-100,(Sheet4!$A$7*'Engine Deck'!C97-Sheet4!F30)*F4/Sheet4!$B$2)</f>
        <v>-100</v>
      </c>
      <c r="F90">
        <f>IF(G17&gt;$A$10,-100,(Sheet4!$A$7*'Engine Deck'!D97-Sheet4!G30)*G4/Sheet4!$B$2)</f>
        <v>11.614047341026867</v>
      </c>
      <c r="G90">
        <f>IF(H17&gt;$A$10,-100,(Sheet4!$A$7*'Engine Deck'!E97-Sheet4!H30)*H4/Sheet4!$B$2)</f>
        <v>17.128386069253715</v>
      </c>
      <c r="H90">
        <f>IF(I17&gt;$A$10,-100,(Sheet4!$A$7*'Engine Deck'!F97-Sheet4!I30)*I4/Sheet4!$B$2)</f>
        <v>18.081497129973563</v>
      </c>
      <c r="I90">
        <f>IF(J17&gt;$A$10,-100,(Sheet4!$A$7*'Engine Deck'!G97-Sheet4!J30)*J4/Sheet4!$B$2)</f>
        <v>14.097031985804762</v>
      </c>
      <c r="J90">
        <f>IF(K17&gt;$A$10,-100,(Sheet4!$A$7*'Engine Deck'!H97-Sheet4!K30)*K4/Sheet4!$B$2)</f>
        <v>4.4183422588843149</v>
      </c>
      <c r="K90">
        <f>IF(L17&gt;$A$10,-100,(Sheet4!$A$7*'Engine Deck'!I97-Sheet4!L30)*L4/Sheet4!$B$2)</f>
        <v>-11.848596761875447</v>
      </c>
      <c r="L90">
        <f>IF(M17&gt;$A$10,-100,(Sheet4!$A$7*'Engine Deck'!J97-Sheet4!M30)*M4/Sheet4!$B$2)</f>
        <v>-36.776306932541189</v>
      </c>
      <c r="M90">
        <f>IF(N17&gt;$A$10,-100,(Sheet4!$A$7*'Engine Deck'!K97-Sheet4!N30)*N4/Sheet4!$B$2)</f>
        <v>-69.076136572191771</v>
      </c>
      <c r="N90">
        <f>IF(O17&gt;$A$10,-100,(Sheet4!$A$7*'Engine Deck'!L97-Sheet4!O30)*O4/Sheet4!$B$2)</f>
        <v>-111.08406344189169</v>
      </c>
      <c r="O90" s="6"/>
    </row>
    <row r="91" spans="3:15" x14ac:dyDescent="0.25">
      <c r="C91">
        <v>2000</v>
      </c>
      <c r="D91">
        <f>IF(E18&gt;$A$10,-100,(Sheet4!$A$7*'Engine Deck'!B98-Sheet4!E31)*E5/Sheet4!$B$2)</f>
        <v>-100</v>
      </c>
      <c r="E91">
        <f>IF(F18&gt;$A$10,-100,(Sheet4!$A$7*'Engine Deck'!C98-Sheet4!F31)*F5/Sheet4!$B$2)</f>
        <v>-100</v>
      </c>
      <c r="F91">
        <f>IF(G18&gt;$A$10,-100,(Sheet4!$A$7*'Engine Deck'!D98-Sheet4!G31)*G5/Sheet4!$B$2)</f>
        <v>10.320223954491164</v>
      </c>
      <c r="G91">
        <f>IF(H18&gt;$A$10,-100,(Sheet4!$A$7*'Engine Deck'!E98-Sheet4!H31)*H5/Sheet4!$B$2)</f>
        <v>16.137165238797635</v>
      </c>
      <c r="H91">
        <f>IF(I18&gt;$A$10,-100,(Sheet4!$A$7*'Engine Deck'!F98-Sheet4!I31)*I5/Sheet4!$B$2)</f>
        <v>17.749408598812284</v>
      </c>
      <c r="I91">
        <f>IF(J18&gt;$A$10,-100,(Sheet4!$A$7*'Engine Deck'!G98-Sheet4!J31)*J5/Sheet4!$B$2)</f>
        <v>14.964419145786739</v>
      </c>
      <c r="J91">
        <f>IF(K18&gt;$A$10,-100,(Sheet4!$A$7*'Engine Deck'!H98-Sheet4!K31)*K5/Sheet4!$B$2)</f>
        <v>7.1757648123221269</v>
      </c>
      <c r="K91">
        <f>IF(L18&gt;$A$10,-100,(Sheet4!$A$7*'Engine Deck'!I98-Sheet4!L31)*L5/Sheet4!$B$2)</f>
        <v>-6.3672829866715421</v>
      </c>
      <c r="L91">
        <f>IF(M18&gt;$A$10,-100,(Sheet4!$A$7*'Engine Deck'!J98-Sheet4!M31)*M5/Sheet4!$B$2)</f>
        <v>-27.722521759423035</v>
      </c>
      <c r="M91">
        <f>IF(N18&gt;$A$10,-100,(Sheet4!$A$7*'Engine Deck'!K98-Sheet4!N31)*N5/Sheet4!$B$2)</f>
        <v>-55.182095589599136</v>
      </c>
      <c r="N91">
        <f>IF(O18&gt;$A$10,-100,(Sheet4!$A$7*'Engine Deck'!L98-Sheet4!O31)*O5/Sheet4!$B$2)</f>
        <v>-91.076257175423223</v>
      </c>
      <c r="O91" s="6"/>
    </row>
    <row r="92" spans="3:15" x14ac:dyDescent="0.25">
      <c r="C92">
        <v>3000</v>
      </c>
      <c r="D92">
        <f>IF(E19&gt;$A$10,-100,(Sheet4!$A$7*'Engine Deck'!B99-Sheet4!E32)*E6/Sheet4!$B$2)</f>
        <v>-100</v>
      </c>
      <c r="E92">
        <f>IF(F19&gt;$A$10,-100,(Sheet4!$A$7*'Engine Deck'!C99-Sheet4!F32)*F6/Sheet4!$B$2)</f>
        <v>-100</v>
      </c>
      <c r="F92">
        <f>IF(G19&gt;$A$10,-100,(Sheet4!$A$7*'Engine Deck'!D99-Sheet4!G32)*G6/Sheet4!$B$2)</f>
        <v>-100</v>
      </c>
      <c r="G92">
        <f>IF(H19&gt;$A$10,-100,(Sheet4!$A$7*'Engine Deck'!E99-Sheet4!H32)*H6/Sheet4!$B$2)</f>
        <v>14.864743271915533</v>
      </c>
      <c r="H92">
        <f>IF(I19&gt;$A$10,-100,(Sheet4!$A$7*'Engine Deck'!F99-Sheet4!I32)*I6/Sheet4!$B$2)</f>
        <v>17.00410137757504</v>
      </c>
      <c r="I92">
        <f>IF(J19&gt;$A$10,-100,(Sheet4!$A$7*'Engine Deck'!G99-Sheet4!J32)*J6/Sheet4!$B$2)</f>
        <v>15.219503070842551</v>
      </c>
      <c r="J92">
        <f>IF(K19&gt;$A$10,-100,(Sheet4!$A$7*'Engine Deck'!H99-Sheet4!K32)*K6/Sheet4!$B$2)</f>
        <v>9.041307502920219</v>
      </c>
      <c r="K92">
        <f>IF(L19&gt;$A$10,-100,(Sheet4!$A$7*'Engine Deck'!I99-Sheet4!L32)*L6/Sheet4!$B$2)</f>
        <v>-2.153154726994873</v>
      </c>
      <c r="L92">
        <f>IF(M19&gt;$A$10,-100,(Sheet4!$A$7*'Engine Deck'!J99-Sheet4!M32)*M6/Sheet4!$B$2)</f>
        <v>-20.442381947020433</v>
      </c>
      <c r="M92">
        <f>IF(N19&gt;$A$10,-100,(Sheet4!$A$7*'Engine Deck'!K99-Sheet4!N32)*N6/Sheet4!$B$2)</f>
        <v>-43.675578574198113</v>
      </c>
      <c r="N92">
        <f>IF(O19&gt;$A$10,-100,(Sheet4!$A$7*'Engine Deck'!L99-Sheet4!O32)*O6/Sheet4!$B$2)</f>
        <v>-74.216720271722068</v>
      </c>
      <c r="O92" s="6"/>
    </row>
    <row r="93" spans="3:15" x14ac:dyDescent="0.25">
      <c r="C93">
        <v>4000</v>
      </c>
      <c r="D93">
        <f>IF(E20&gt;$A$10,-100,(Sheet4!$A$7*'Engine Deck'!B100-Sheet4!E33)*E7/Sheet4!$B$2)</f>
        <v>-100</v>
      </c>
      <c r="E93">
        <f>IF(F20&gt;$A$10,-100,(Sheet4!$A$7*'Engine Deck'!C100-Sheet4!F33)*F7/Sheet4!$B$2)</f>
        <v>-100</v>
      </c>
      <c r="F93">
        <f>IF(G20&gt;$A$10,-100,(Sheet4!$A$7*'Engine Deck'!D100-Sheet4!G33)*G7/Sheet4!$B$2)</f>
        <v>-100</v>
      </c>
      <c r="G93">
        <f>IF(H20&gt;$A$10,-100,(Sheet4!$A$7*'Engine Deck'!E100-Sheet4!H33)*H7/Sheet4!$B$2)</f>
        <v>13.354109036479935</v>
      </c>
      <c r="H93">
        <f>IF(I20&gt;$A$10,-100,(Sheet4!$A$7*'Engine Deck'!F100-Sheet4!I33)*I7/Sheet4!$B$2)</f>
        <v>15.912696476383363</v>
      </c>
      <c r="I93">
        <f>IF(J20&gt;$A$10,-100,(Sheet4!$A$7*'Engine Deck'!G100-Sheet4!J33)*J7/Sheet4!$B$2)</f>
        <v>14.958374493867099</v>
      </c>
      <c r="J93">
        <f>IF(K20&gt;$A$10,-100,(Sheet4!$A$7*'Engine Deck'!H100-Sheet4!K33)*K7/Sheet4!$B$2)</f>
        <v>10.14694939944035</v>
      </c>
      <c r="K93">
        <f>IF(L20&gt;$A$10,-100,(Sheet4!$A$7*'Engine Deck'!I100-Sheet4!L33)*L7/Sheet4!$B$2)</f>
        <v>0.97044320314533306</v>
      </c>
      <c r="L93">
        <f>IF(M20&gt;$A$10,-100,(Sheet4!$A$7*'Engine Deck'!J100-Sheet4!M33)*M7/Sheet4!$B$2)</f>
        <v>-14.706431939355602</v>
      </c>
      <c r="M93">
        <f>IF(N20&gt;$A$10,-100,(Sheet4!$A$7*'Engine Deck'!K100-Sheet4!N33)*N7/Sheet4!$B$2)</f>
        <v>-34.259163151410718</v>
      </c>
      <c r="N93">
        <f>IF(O20&gt;$A$10,-100,(Sheet4!$A$7*'Engine Deck'!L100-Sheet4!O33)*O7/Sheet4!$B$2)</f>
        <v>-60.125842411305733</v>
      </c>
      <c r="O93" s="6"/>
    </row>
    <row r="94" spans="3:15" x14ac:dyDescent="0.25">
      <c r="C94">
        <v>5000</v>
      </c>
      <c r="D94">
        <f>IF(E21&gt;$A$10,-100,(Sheet4!$A$7*'Engine Deck'!B101-Sheet4!E34)*E8/Sheet4!$B$2)</f>
        <v>-100</v>
      </c>
      <c r="E94">
        <f>IF(F21&gt;$A$10,-100,(Sheet4!$A$7*'Engine Deck'!C101-Sheet4!F34)*F8/Sheet4!$B$2)</f>
        <v>-100</v>
      </c>
      <c r="F94">
        <f>IF(G21&gt;$A$10,-100,(Sheet4!$A$7*'Engine Deck'!D101-Sheet4!G34)*G8/Sheet4!$B$2)</f>
        <v>-100</v>
      </c>
      <c r="G94">
        <f>IF(H21&gt;$A$10,-100,(Sheet4!$A$7*'Engine Deck'!E101-Sheet4!H34)*H8/Sheet4!$B$2)</f>
        <v>11.643455495663579</v>
      </c>
      <c r="H94">
        <f>IF(I21&gt;$A$10,-100,(Sheet4!$A$7*'Engine Deck'!F101-Sheet4!I34)*I8/Sheet4!$B$2)</f>
        <v>14.539742232601816</v>
      </c>
      <c r="I94">
        <f>IF(J21&gt;$A$10,-100,(Sheet4!$A$7*'Engine Deck'!G101-Sheet4!J34)*J8/Sheet4!$B$2)</f>
        <v>14.276226458207612</v>
      </c>
      <c r="J94">
        <f>IF(K21&gt;$A$10,-100,(Sheet4!$A$7*'Engine Deck'!H101-Sheet4!K34)*K8/Sheet4!$B$2)</f>
        <v>10.625288948700328</v>
      </c>
      <c r="K94">
        <f>IF(L21&gt;$A$10,-100,(Sheet4!$A$7*'Engine Deck'!I101-Sheet4!L34)*L8/Sheet4!$B$2)</f>
        <v>3.1823321332838503</v>
      </c>
      <c r="L94">
        <f>IF(M21&gt;$A$10,-100,(Sheet4!$A$7*'Engine Deck'!J101-Sheet4!M34)*M8/Sheet4!$B$2)</f>
        <v>-10.283637039305386</v>
      </c>
      <c r="M94">
        <f>IF(N21&gt;$A$10,-100,(Sheet4!$A$7*'Engine Deck'!K101-Sheet4!N34)*N8/Sheet4!$B$2)</f>
        <v>-26.631732275686435</v>
      </c>
      <c r="N94">
        <f>IF(O21&gt;$A$10,-100,(Sheet4!$A$7*'Engine Deck'!L101-Sheet4!O34)*O8/Sheet4!$B$2)</f>
        <v>-48.418049869338105</v>
      </c>
      <c r="O94" s="6"/>
    </row>
    <row r="95" spans="3:15" x14ac:dyDescent="0.25">
      <c r="C95">
        <v>6000</v>
      </c>
      <c r="D95">
        <f>IF(E22&gt;$A$10,-100,(Sheet4!$A$7*'Engine Deck'!B102-Sheet4!E35)*E9/Sheet4!$B$2)</f>
        <v>-100</v>
      </c>
      <c r="E95">
        <f>IF(F22&gt;$A$10,-100,(Sheet4!$A$7*'Engine Deck'!C102-Sheet4!F35)*F9/Sheet4!$B$2)</f>
        <v>-100</v>
      </c>
      <c r="F95">
        <f>IF(G22&gt;$A$10,-100,(Sheet4!$A$7*'Engine Deck'!D102-Sheet4!G35)*G9/Sheet4!$B$2)</f>
        <v>-100</v>
      </c>
      <c r="G95">
        <f>IF(H22&gt;$A$10,-100,(Sheet4!$A$7*'Engine Deck'!E102-Sheet4!H35)*H9/Sheet4!$B$2)</f>
        <v>9.772688966324985</v>
      </c>
      <c r="H95">
        <f>IF(I22&gt;$A$10,-100,(Sheet4!$A$7*'Engine Deck'!F102-Sheet4!I35)*I9/Sheet4!$B$2)</f>
        <v>12.943250662031668</v>
      </c>
      <c r="I95">
        <f>IF(J22&gt;$A$10,-100,(Sheet4!$A$7*'Engine Deck'!G102-Sheet4!J35)*J9/Sheet4!$B$2)</f>
        <v>13.248758857965028</v>
      </c>
      <c r="J95">
        <f>IF(K22&gt;$A$10,-100,(Sheet4!$A$7*'Engine Deck'!H102-Sheet4!K35)*K9/Sheet4!$B$2)</f>
        <v>10.570292846369979</v>
      </c>
      <c r="K95">
        <f>IF(L22&gt;$A$10,-100,(Sheet4!$A$7*'Engine Deck'!I102-Sheet4!L35)*L9/Sheet4!$B$2)</f>
        <v>4.5960225912279862</v>
      </c>
      <c r="L95">
        <f>IF(M22&gt;$A$10,-100,(Sheet4!$A$7*'Engine Deck'!J102-Sheet4!M35)*M9/Sheet4!$B$2)</f>
        <v>-7.0423208925258995</v>
      </c>
      <c r="M95">
        <f>IF(N22&gt;$A$10,-100,(Sheet4!$A$7*'Engine Deck'!K102-Sheet4!N35)*N9/Sheet4!$B$2)</f>
        <v>-20.637414767391707</v>
      </c>
      <c r="N95">
        <f>IF(O22&gt;$A$10,-100,(Sheet4!$A$7*'Engine Deck'!L102-Sheet4!O35)*O9/Sheet4!$B$2)</f>
        <v>-38.910368242264013</v>
      </c>
      <c r="O95" s="6"/>
    </row>
    <row r="96" spans="3:15" x14ac:dyDescent="0.25">
      <c r="C96">
        <v>7000</v>
      </c>
      <c r="D96">
        <f>IF(E23&gt;$A$10,-100,(Sheet4!$A$7*'Engine Deck'!B103-Sheet4!E36)*E10/Sheet4!$B$2)</f>
        <v>-100</v>
      </c>
      <c r="E96">
        <f>IF(F23&gt;$A$10,-100,(Sheet4!$A$7*'Engine Deck'!C103-Sheet4!F36)*F10/Sheet4!$B$2)</f>
        <v>-100</v>
      </c>
      <c r="F96">
        <f>IF(G23&gt;$A$10,-100,(Sheet4!$A$7*'Engine Deck'!D103-Sheet4!G36)*G10/Sheet4!$B$2)</f>
        <v>-100</v>
      </c>
      <c r="G96">
        <f>IF(H23&gt;$A$10,-100,(Sheet4!$A$7*'Engine Deck'!E103-Sheet4!H36)*H10/Sheet4!$B$2)</f>
        <v>7.7445450080968277</v>
      </c>
      <c r="H96">
        <f>IF(I23&gt;$A$10,-100,(Sheet4!$A$7*'Engine Deck'!F103-Sheet4!I36)*I10/Sheet4!$B$2)</f>
        <v>11.151848508276625</v>
      </c>
      <c r="I96">
        <f>IF(J23&gt;$A$10,-100,(Sheet4!$A$7*'Engine Deck'!G103-Sheet4!J36)*J10/Sheet4!$B$2)</f>
        <v>11.937990145659906</v>
      </c>
      <c r="J96">
        <f>IF(K23&gt;$A$10,-100,(Sheet4!$A$7*'Engine Deck'!H103-Sheet4!K36)*K10/Sheet4!$B$2)</f>
        <v>10.088568018491411</v>
      </c>
      <c r="K96">
        <f>IF(L23&gt;$A$10,-100,(Sheet4!$A$7*'Engine Deck'!I103-Sheet4!L36)*L10/Sheet4!$B$2)</f>
        <v>5.3769622451320354</v>
      </c>
      <c r="L96">
        <f>IF(M23&gt;$A$10,-100,(Sheet4!$A$7*'Engine Deck'!J103-Sheet4!M36)*M10/Sheet4!$B$2)</f>
        <v>-4.7489286836779119</v>
      </c>
      <c r="M96">
        <f>IF(N23&gt;$A$10,-100,(Sheet4!$A$7*'Engine Deck'!K103-Sheet4!N36)*N10/Sheet4!$B$2)</f>
        <v>-15.945976030841074</v>
      </c>
      <c r="N96">
        <f>IF(O23&gt;$A$10,-100,(Sheet4!$A$7*'Engine Deck'!L103-Sheet4!O36)*O10/Sheet4!$B$2)</f>
        <v>-31.153395934139912</v>
      </c>
      <c r="O96" s="6"/>
    </row>
    <row r="97" spans="3:15" x14ac:dyDescent="0.25">
      <c r="C97">
        <v>8000</v>
      </c>
      <c r="D97">
        <f>IF(E24&gt;$A$10,-100,(Sheet4!$A$7*'Engine Deck'!B104-Sheet4!E37)*E11/Sheet4!$B$2)</f>
        <v>-100</v>
      </c>
      <c r="E97">
        <f>IF(F24&gt;$A$10,-100,(Sheet4!$A$7*'Engine Deck'!C104-Sheet4!F37)*F11/Sheet4!$B$2)</f>
        <v>-100</v>
      </c>
      <c r="F97">
        <f>IF(G24&gt;$A$10,-100,(Sheet4!$A$7*'Engine Deck'!D104-Sheet4!G37)*G11/Sheet4!$B$2)</f>
        <v>-100</v>
      </c>
      <c r="G97">
        <f>IF(H24&gt;$A$10,-100,(Sheet4!$A$7*'Engine Deck'!E104-Sheet4!H37)*H11/Sheet4!$B$2)</f>
        <v>5.57619816757461</v>
      </c>
      <c r="H97">
        <f>IF(I24&gt;$A$10,-100,(Sheet4!$A$7*'Engine Deck'!F104-Sheet4!I37)*I11/Sheet4!$B$2)</f>
        <v>9.1980059372430016</v>
      </c>
      <c r="I97">
        <f>IF(J24&gt;$A$10,-100,(Sheet4!$A$7*'Engine Deck'!G104-Sheet4!J37)*J11/Sheet4!$B$2)</f>
        <v>10.390639301620661</v>
      </c>
      <c r="J97">
        <f>IF(K24&gt;$A$10,-100,(Sheet4!$A$7*'Engine Deck'!H104-Sheet4!K37)*K11/Sheet4!$B$2)</f>
        <v>9.2412799966011185</v>
      </c>
      <c r="K97">
        <f>IF(L24&gt;$A$10,-100,(Sheet4!$A$7*'Engine Deck'!I104-Sheet4!L37)*L11/Sheet4!$B$2)</f>
        <v>5.6017162146663697</v>
      </c>
      <c r="L97">
        <f>IF(M24&gt;$A$10,-100,(Sheet4!$A$7*'Engine Deck'!J104-Sheet4!M37)*M11/Sheet4!$B$2)</f>
        <v>-3.3156113927699038</v>
      </c>
      <c r="M97">
        <f>IF(N24&gt;$A$10,-100,(Sheet4!$A$7*'Engine Deck'!K104-Sheet4!N37)*N11/Sheet4!$B$2)</f>
        <v>-12.449962695691362</v>
      </c>
      <c r="N97">
        <f>IF(O24&gt;$A$10,-100,(Sheet4!$A$7*'Engine Deck'!L104-Sheet4!O37)*O11/Sheet4!$B$2)</f>
        <v>-25.017656057647638</v>
      </c>
      <c r="O97" s="6"/>
    </row>
    <row r="98" spans="3:15" x14ac:dyDescent="0.25">
      <c r="C98">
        <v>9000</v>
      </c>
      <c r="D98">
        <f>IF(E25&gt;$A$10,-100,(Sheet4!$A$7*'Engine Deck'!B105-Sheet4!E38)*E12/Sheet4!$B$2)</f>
        <v>-100</v>
      </c>
      <c r="E98">
        <f>IF(F25&gt;$A$10,-100,(Sheet4!$A$7*'Engine Deck'!C105-Sheet4!F38)*F12/Sheet4!$B$2)</f>
        <v>-100</v>
      </c>
      <c r="F98">
        <f>IF(G25&gt;$A$10,-100,(Sheet4!$A$7*'Engine Deck'!D105-Sheet4!G38)*G12/Sheet4!$B$2)</f>
        <v>-100</v>
      </c>
      <c r="G98">
        <f>IF(H25&gt;$A$10,-100,(Sheet4!$A$7*'Engine Deck'!E105-Sheet4!H38)*H12/Sheet4!$B$2)</f>
        <v>-100</v>
      </c>
      <c r="H98">
        <f>IF(I25&gt;$A$10,-100,(Sheet4!$A$7*'Engine Deck'!F105-Sheet4!I38)*I12/Sheet4!$B$2)</f>
        <v>7.1024678284882254</v>
      </c>
      <c r="I98">
        <f>IF(J25&gt;$A$10,-100,(Sheet4!$A$7*'Engine Deck'!G105-Sheet4!J38)*J12/Sheet4!$B$2)</f>
        <v>8.6511263190919117</v>
      </c>
      <c r="J98">
        <f>IF(K25&gt;$A$10,-100,(Sheet4!$A$7*'Engine Deck'!H105-Sheet4!K38)*K12/Sheet4!$B$2)</f>
        <v>8.1013975488408647</v>
      </c>
      <c r="K98">
        <f>IF(L25&gt;$A$10,-100,(Sheet4!$A$7*'Engine Deck'!I105-Sheet4!L38)*L12/Sheet4!$B$2)</f>
        <v>5.3786757150811679</v>
      </c>
      <c r="L98">
        <f>IF(M25&gt;$A$10,-100,(Sheet4!$A$7*'Engine Deck'!J105-Sheet4!M38)*M12/Sheet4!$B$2)</f>
        <v>-2.5996279509830553</v>
      </c>
      <c r="M98">
        <f>IF(N25&gt;$A$10,-100,(Sheet4!$A$7*'Engine Deck'!K105-Sheet4!N38)*N12/Sheet4!$B$2)</f>
        <v>-9.9513868583469058</v>
      </c>
      <c r="N98">
        <f>IF(O25&gt;$A$10,-100,(Sheet4!$A$7*'Engine Deck'!L105-Sheet4!O38)*O12/Sheet4!$B$2)</f>
        <v>-20.238399641208613</v>
      </c>
      <c r="O98" s="6"/>
    </row>
    <row r="99" spans="3:15" x14ac:dyDescent="0.25">
      <c r="C99">
        <v>10000</v>
      </c>
      <c r="D99">
        <f>IF(E26&gt;$A$10,-100,(Sheet4!$A$7*'Engine Deck'!B106-Sheet4!E39)*E13/Sheet4!$B$2)</f>
        <v>-100</v>
      </c>
      <c r="E99">
        <f>IF(F26&gt;$A$10,-100,(Sheet4!$A$7*'Engine Deck'!C106-Sheet4!F39)*F13/Sheet4!$B$2)</f>
        <v>-100</v>
      </c>
      <c r="F99">
        <f>IF(G26&gt;$A$10,-100,(Sheet4!$A$7*'Engine Deck'!D106-Sheet4!G39)*G13/Sheet4!$B$2)</f>
        <v>-100</v>
      </c>
      <c r="G99">
        <f>IF(H26&gt;$A$10,-100,(Sheet4!$A$7*'Engine Deck'!E106-Sheet4!H39)*H13/Sheet4!$B$2)</f>
        <v>-100</v>
      </c>
      <c r="H99">
        <f>IF(I26&gt;$A$10,-100,(Sheet4!$A$7*'Engine Deck'!F106-Sheet4!I39)*I13/Sheet4!$B$2)</f>
        <v>4.8521793895532568</v>
      </c>
      <c r="I99">
        <f>IF(J26&gt;$A$10,-100,(Sheet4!$A$7*'Engine Deck'!G106-Sheet4!J39)*J13/Sheet4!$B$2)</f>
        <v>6.7288058066226561</v>
      </c>
      <c r="J99">
        <f>IF(K26&gt;$A$10,-100,(Sheet4!$A$7*'Engine Deck'!H106-Sheet4!K39)*K13/Sheet4!$B$2)</f>
        <v>6.6939398276491788</v>
      </c>
      <c r="K99">
        <f>IF(L26&gt;$A$10,-100,(Sheet4!$A$7*'Engine Deck'!I106-Sheet4!L39)*L13/Sheet4!$B$2)</f>
        <v>4.7515802237713176</v>
      </c>
      <c r="L99">
        <f>IF(M26&gt;$A$10,-100,(Sheet4!$A$7*'Engine Deck'!J106-Sheet4!M39)*M13/Sheet4!$B$2)</f>
        <v>-2.5448073746598392</v>
      </c>
      <c r="M99">
        <f>IF(N26&gt;$A$10,-100,(Sheet4!$A$7*'Engine Deck'!K106-Sheet4!N39)*N13/Sheet4!$B$2)</f>
        <v>-8.3650779045884764</v>
      </c>
      <c r="N99">
        <f>IF(O26&gt;$A$10,-100,(Sheet4!$A$7*'Engine Deck'!L106-Sheet4!O39)*O13/Sheet4!$B$2)</f>
        <v>-16.695782099464061</v>
      </c>
      <c r="O99" s="6"/>
    </row>
    <row r="102" spans="3:15" x14ac:dyDescent="0.25">
      <c r="C102" t="s">
        <v>38</v>
      </c>
      <c r="D102" s="5" t="s">
        <v>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3:15" x14ac:dyDescent="0.25">
      <c r="C103">
        <v>0.9</v>
      </c>
      <c r="D103">
        <v>0</v>
      </c>
      <c r="E103">
        <v>0.1</v>
      </c>
      <c r="F103">
        <v>0.2</v>
      </c>
      <c r="G103">
        <v>0.3</v>
      </c>
      <c r="H103">
        <v>0.4</v>
      </c>
      <c r="I103">
        <v>0.5</v>
      </c>
      <c r="J103">
        <v>0.6</v>
      </c>
      <c r="K103">
        <v>0.7</v>
      </c>
      <c r="L103">
        <v>0.8</v>
      </c>
      <c r="M103">
        <v>0.9</v>
      </c>
      <c r="N103">
        <v>1</v>
      </c>
    </row>
    <row r="104" spans="3:15" x14ac:dyDescent="0.25">
      <c r="C104">
        <v>0</v>
      </c>
      <c r="D104">
        <f>IF(E16&gt;$A$10,-100,(Sheet4!$A$7*'Engine Deck'!B111-Sheet4!E29)*E3/Sheet4!$B$2)</f>
        <v>-100</v>
      </c>
      <c r="E104">
        <f>IF(F16&gt;$A$10,-100,(Sheet4!$A$7*'Engine Deck'!C111-Sheet4!F29)*F3/Sheet4!$B$2)</f>
        <v>-100</v>
      </c>
      <c r="F104">
        <f>IF(G16&gt;$A$10,-100,(Sheet4!$A$7*'Engine Deck'!D111-Sheet4!G29)*G3/Sheet4!$B$2)</f>
        <v>20.428807028794914</v>
      </c>
      <c r="G104">
        <f>IF(H16&gt;$A$10,-100,(Sheet4!$A$7*'Engine Deck'!E111-Sheet4!H29)*H3/Sheet4!$B$2)</f>
        <v>28.881557105701404</v>
      </c>
      <c r="H104">
        <f>IF(I16&gt;$A$10,-100,(Sheet4!$A$7*'Engine Deck'!F111-Sheet4!I29)*I3/Sheet4!$B$2)</f>
        <v>32.127796190825791</v>
      </c>
      <c r="I104">
        <f>IF(J16&gt;$A$10,-100,(Sheet4!$A$7*'Engine Deck'!G111-Sheet4!J29)*J3/Sheet4!$B$2)</f>
        <v>29.669755392819827</v>
      </c>
      <c r="J104">
        <f>IF(K16&gt;$A$10,-100,(Sheet4!$A$7*'Engine Deck'!H111-Sheet4!K29)*K3/Sheet4!$B$2)</f>
        <v>20.644167583835095</v>
      </c>
      <c r="K104">
        <f>IF(L16&gt;$A$10,-100,(Sheet4!$A$7*'Engine Deck'!I111-Sheet4!L29)*L3/Sheet4!$B$2)</f>
        <v>4.0449940147940628</v>
      </c>
      <c r="L104">
        <f>IF(M16&gt;$A$10,-100,(Sheet4!$A$7*'Engine Deck'!J111-Sheet4!M29)*M3/Sheet4!$B$2)</f>
        <v>-22.209044121068111</v>
      </c>
      <c r="M104">
        <f>IF(N16&gt;$A$10,-100,(Sheet4!$A$7*'Engine Deck'!K111-Sheet4!N29)*N3/Sheet4!$B$2)</f>
        <v>-57.200053271358691</v>
      </c>
      <c r="N104">
        <f>IF(O16&gt;$A$10,-100,(Sheet4!$A$7*'Engine Deck'!L111-Sheet4!O29)*O3/Sheet4!$B$2)</f>
        <v>-103.27938418400571</v>
      </c>
      <c r="O104" s="6" t="s">
        <v>41</v>
      </c>
    </row>
    <row r="105" spans="3:15" x14ac:dyDescent="0.25">
      <c r="C105">
        <v>1000</v>
      </c>
      <c r="D105">
        <f>IF(E17&gt;$A$10,-100,(Sheet4!$A$7*'Engine Deck'!B112-Sheet4!E30)*E4/Sheet4!$B$2)</f>
        <v>-100</v>
      </c>
      <c r="E105">
        <f>IF(F17&gt;$A$10,-100,(Sheet4!$A$7*'Engine Deck'!C112-Sheet4!F30)*F4/Sheet4!$B$2)</f>
        <v>-100</v>
      </c>
      <c r="F105">
        <f>IF(G17&gt;$A$10,-100,(Sheet4!$A$7*'Engine Deck'!D112-Sheet4!G30)*G4/Sheet4!$B$2)</f>
        <v>18.413985084891063</v>
      </c>
      <c r="G105">
        <f>IF(H17&gt;$A$10,-100,(Sheet4!$A$7*'Engine Deck'!E112-Sheet4!H30)*H4/Sheet4!$B$2)</f>
        <v>26.857199114501221</v>
      </c>
      <c r="H105">
        <f>IF(I17&gt;$A$10,-100,(Sheet4!$A$7*'Engine Deck'!F112-Sheet4!I30)*I4/Sheet4!$B$2)</f>
        <v>30.539528435148327</v>
      </c>
      <c r="I105">
        <f>IF(J17&gt;$A$10,-100,(Sheet4!$A$7*'Engine Deck'!G112-Sheet4!J30)*J4/Sheet4!$B$2)</f>
        <v>29.148977512587493</v>
      </c>
      <c r="J105">
        <f>IF(K17&gt;$A$10,-100,(Sheet4!$A$7*'Engine Deck'!H112-Sheet4!K30)*K4/Sheet4!$B$2)</f>
        <v>21.98099325720931</v>
      </c>
      <c r="K105">
        <f>IF(L17&gt;$A$10,-100,(Sheet4!$A$7*'Engine Deck'!I112-Sheet4!L30)*L4/Sheet4!$B$2)</f>
        <v>8.184174375588114</v>
      </c>
      <c r="L105">
        <f>IF(M17&gt;$A$10,-100,(Sheet4!$A$7*'Engine Deck'!J112-Sheet4!M30)*M4/Sheet4!$B$2)</f>
        <v>-14.278790338969777</v>
      </c>
      <c r="M105">
        <f>IF(N17&gt;$A$10,-100,(Sheet4!$A$7*'Engine Deck'!K112-Sheet4!N30)*N4/Sheet4!$B$2)</f>
        <v>-44.089906997732442</v>
      </c>
      <c r="N105">
        <f>IF(O17&gt;$A$10,-100,(Sheet4!$A$7*'Engine Deck'!L112-Sheet4!O30)*O4/Sheet4!$B$2)</f>
        <v>-83.560505907203279</v>
      </c>
      <c r="O105" s="6"/>
    </row>
    <row r="106" spans="3:15" x14ac:dyDescent="0.25">
      <c r="C106">
        <v>2000</v>
      </c>
      <c r="D106">
        <f>IF(E18&gt;$A$10,-100,(Sheet4!$A$7*'Engine Deck'!B113-Sheet4!E31)*E5/Sheet4!$B$2)</f>
        <v>-100</v>
      </c>
      <c r="E106">
        <f>IF(F18&gt;$A$10,-100,(Sheet4!$A$7*'Engine Deck'!C113-Sheet4!F31)*F5/Sheet4!$B$2)</f>
        <v>-100</v>
      </c>
      <c r="F106">
        <f>IF(G18&gt;$A$10,-100,(Sheet4!$A$7*'Engine Deck'!D113-Sheet4!G31)*G5/Sheet4!$B$2)</f>
        <v>16.265125464632252</v>
      </c>
      <c r="G106">
        <f>IF(H18&gt;$A$10,-100,(Sheet4!$A$7*'Engine Deck'!E113-Sheet4!H31)*H5/Sheet4!$B$2)</f>
        <v>24.6426600746526</v>
      </c>
      <c r="H106">
        <f>IF(I18&gt;$A$10,-100,(Sheet4!$A$7*'Engine Deck'!F113-Sheet4!I31)*I5/Sheet4!$B$2)</f>
        <v>28.640944949471777</v>
      </c>
      <c r="I106">
        <f>IF(J18&gt;$A$10,-100,(Sheet4!$A$7*'Engine Deck'!G113-Sheet4!J31)*J5/Sheet4!$B$2)</f>
        <v>28.123706342713636</v>
      </c>
      <c r="J106">
        <f>IF(K18&gt;$A$10,-100,(Sheet4!$A$7*'Engine Deck'!H113-Sheet4!K31)*K5/Sheet4!$B$2)</f>
        <v>22.530056921280629</v>
      </c>
      <c r="K106">
        <f>IF(L18&gt;$A$10,-100,(Sheet4!$A$7*'Engine Deck'!I113-Sheet4!L31)*L5/Sheet4!$B$2)</f>
        <v>11.14653197360207</v>
      </c>
      <c r="L106">
        <f>IF(M18&gt;$A$10,-100,(Sheet4!$A$7*'Engine Deck'!J113-Sheet4!M31)*M5/Sheet4!$B$2)</f>
        <v>-8.0538828086870904</v>
      </c>
      <c r="M106">
        <f>IF(N18&gt;$A$10,-100,(Sheet4!$A$7*'Engine Deck'!K113-Sheet4!N31)*N5/Sheet4!$B$2)</f>
        <v>-33.337678842700498</v>
      </c>
      <c r="N106">
        <f>IF(O18&gt;$A$10,-100,(Sheet4!$A$7*'Engine Deck'!L113-Sheet4!O31)*O5/Sheet4!$B$2)</f>
        <v>-67.013560586756924</v>
      </c>
      <c r="O106" s="6"/>
    </row>
    <row r="107" spans="3:15" x14ac:dyDescent="0.25">
      <c r="C107">
        <v>3000</v>
      </c>
      <c r="D107">
        <f>IF(E19&gt;$A$10,-100,(Sheet4!$A$7*'Engine Deck'!B114-Sheet4!E32)*E6/Sheet4!$B$2)</f>
        <v>-100</v>
      </c>
      <c r="E107">
        <f>IF(F19&gt;$A$10,-100,(Sheet4!$A$7*'Engine Deck'!C114-Sheet4!F32)*F6/Sheet4!$B$2)</f>
        <v>-100</v>
      </c>
      <c r="F107">
        <f>IF(G19&gt;$A$10,-100,(Sheet4!$A$7*'Engine Deck'!D114-Sheet4!G32)*G6/Sheet4!$B$2)</f>
        <v>-100</v>
      </c>
      <c r="G107">
        <f>IF(H19&gt;$A$10,-100,(Sheet4!$A$7*'Engine Deck'!E114-Sheet4!H32)*H6/Sheet4!$B$2)</f>
        <v>22.278703867241713</v>
      </c>
      <c r="H107">
        <f>IF(I19&gt;$A$10,-100,(Sheet4!$A$7*'Engine Deck'!F114-Sheet4!I32)*I6/Sheet4!$B$2)</f>
        <v>26.497896022649947</v>
      </c>
      <c r="I107">
        <f>IF(J19&gt;$A$10,-100,(Sheet4!$A$7*'Engine Deck'!G114-Sheet4!J32)*J6/Sheet4!$B$2)</f>
        <v>26.69002167363109</v>
      </c>
      <c r="J107">
        <f>IF(K19&gt;$A$10,-100,(Sheet4!$A$7*'Engine Deck'!H114-Sheet4!K32)*K6/Sheet4!$B$2)</f>
        <v>22.425139820949404</v>
      </c>
      <c r="K107">
        <f>IF(L19&gt;$A$10,-100,(Sheet4!$A$7*'Engine Deck'!I114-Sheet4!L32)*L6/Sheet4!$B$2)</f>
        <v>13.11306275889824</v>
      </c>
      <c r="L107">
        <f>IF(M19&gt;$A$10,-100,(Sheet4!$A$7*'Engine Deck'!J114-Sheet4!M32)*M6/Sheet4!$B$2)</f>
        <v>-3.2978751359953669</v>
      </c>
      <c r="M107">
        <f>IF(N19&gt;$A$10,-100,(Sheet4!$A$7*'Engine Deck'!K114-Sheet4!N32)*N6/Sheet4!$B$2)</f>
        <v>-24.634517693569123</v>
      </c>
      <c r="N107">
        <f>IF(O19&gt;$A$10,-100,(Sheet4!$A$7*'Engine Deck'!L114-Sheet4!O32)*O6/Sheet4!$B$2)</f>
        <v>-53.242057683765864</v>
      </c>
      <c r="O107" s="6"/>
    </row>
    <row r="108" spans="3:15" x14ac:dyDescent="0.25">
      <c r="C108">
        <v>4000</v>
      </c>
      <c r="D108">
        <f>IF(E20&gt;$A$10,-100,(Sheet4!$A$7*'Engine Deck'!B115-Sheet4!E33)*E7/Sheet4!$B$2)</f>
        <v>-100</v>
      </c>
      <c r="E108">
        <f>IF(F20&gt;$A$10,-100,(Sheet4!$A$7*'Engine Deck'!C115-Sheet4!F33)*F7/Sheet4!$B$2)</f>
        <v>-100</v>
      </c>
      <c r="F108">
        <f>IF(G20&gt;$A$10,-100,(Sheet4!$A$7*'Engine Deck'!D115-Sheet4!G33)*G7/Sheet4!$B$2)</f>
        <v>-100</v>
      </c>
      <c r="G108">
        <f>IF(H20&gt;$A$10,-100,(Sheet4!$A$7*'Engine Deck'!E115-Sheet4!H33)*H7/Sheet4!$B$2)</f>
        <v>19.794212473884166</v>
      </c>
      <c r="H108">
        <f>IF(I20&gt;$A$10,-100,(Sheet4!$A$7*'Engine Deck'!F115-Sheet4!I33)*I7/Sheet4!$B$2)</f>
        <v>24.159438381958172</v>
      </c>
      <c r="I108">
        <f>IF(J20&gt;$A$10,-100,(Sheet4!$A$7*'Engine Deck'!G115-Sheet4!J33)*J7/Sheet4!$B$2)</f>
        <v>24.922188751147718</v>
      </c>
      <c r="J108">
        <f>IF(K20&gt;$A$10,-100,(Sheet4!$A$7*'Engine Deck'!H115-Sheet4!K33)*K7/Sheet4!$B$2)</f>
        <v>21.772754987255119</v>
      </c>
      <c r="K108">
        <f>IF(L20&gt;$A$10,-100,(Sheet4!$A$7*'Engine Deck'!I115-Sheet4!L33)*L7/Sheet4!$B$2)</f>
        <v>14.231374178289714</v>
      </c>
      <c r="L108">
        <f>IF(M20&gt;$A$10,-100,(Sheet4!$A$7*'Engine Deck'!J115-Sheet4!M33)*M7/Sheet4!$B$2)</f>
        <v>0.18606658779972354</v>
      </c>
      <c r="M108">
        <f>IF(N20&gt;$A$10,-100,(Sheet4!$A$7*'Engine Deck'!K115-Sheet4!N33)*N7/Sheet4!$B$2)</f>
        <v>-17.719231484324887</v>
      </c>
      <c r="N108">
        <f>IF(O20&gt;$A$10,-100,(Sheet4!$A$7*'Engine Deck'!L115-Sheet4!O33)*O7/Sheet4!$B$2)</f>
        <v>-41.90629634084975</v>
      </c>
      <c r="O108" s="6"/>
    </row>
    <row r="109" spans="3:15" x14ac:dyDescent="0.25">
      <c r="C109">
        <v>5000</v>
      </c>
      <c r="D109">
        <f>IF(E21&gt;$A$10,-100,(Sheet4!$A$7*'Engine Deck'!B116-Sheet4!E34)*E8/Sheet4!$B$2)</f>
        <v>-100</v>
      </c>
      <c r="E109">
        <f>IF(F21&gt;$A$10,-100,(Sheet4!$A$7*'Engine Deck'!C116-Sheet4!F34)*F8/Sheet4!$B$2)</f>
        <v>-100</v>
      </c>
      <c r="F109">
        <f>IF(G21&gt;$A$10,-100,(Sheet4!$A$7*'Engine Deck'!D116-Sheet4!G34)*G8/Sheet4!$B$2)</f>
        <v>-100</v>
      </c>
      <c r="G109">
        <f>IF(H21&gt;$A$10,-100,(Sheet4!$A$7*'Engine Deck'!E116-Sheet4!H34)*H8/Sheet4!$B$2)</f>
        <v>17.217424367991065</v>
      </c>
      <c r="H109">
        <f>IF(I21&gt;$A$10,-100,(Sheet4!$A$7*'Engine Deck'!F116-Sheet4!I34)*I8/Sheet4!$B$2)</f>
        <v>21.67737334778159</v>
      </c>
      <c r="I109">
        <f>IF(J21&gt;$A$10,-100,(Sheet4!$A$7*'Engine Deck'!G116-Sheet4!J34)*J8/Sheet4!$B$2)</f>
        <v>22.899999517063982</v>
      </c>
      <c r="J109">
        <f>IF(K21&gt;$A$10,-100,(Sheet4!$A$7*'Engine Deck'!H116-Sheet4!K34)*K8/Sheet4!$B$2)</f>
        <v>20.687530819823078</v>
      </c>
      <c r="K109">
        <f>IF(L21&gt;$A$10,-100,(Sheet4!$A$7*'Engine Deck'!I116-Sheet4!L34)*L8/Sheet4!$B$2)</f>
        <v>14.65979009525269</v>
      </c>
      <c r="L109">
        <f>IF(M21&gt;$A$10,-100,(Sheet4!$A$7*'Engine Deck'!J116-Sheet4!M34)*M8/Sheet4!$B$2)</f>
        <v>2.6059576742548494</v>
      </c>
      <c r="M109">
        <f>IF(N21&gt;$A$10,-100,(Sheet4!$A$7*'Engine Deck'!K116-Sheet4!N34)*N8/Sheet4!$B$2)</f>
        <v>-12.316268997984867</v>
      </c>
      <c r="N109">
        <f>IF(O21&gt;$A$10,-100,(Sheet4!$A$7*'Engine Deck'!L116-Sheet4!O34)*O8/Sheet4!$B$2)</f>
        <v>-32.648864847429316</v>
      </c>
      <c r="O109" s="6"/>
    </row>
    <row r="110" spans="3:15" x14ac:dyDescent="0.25">
      <c r="C110">
        <v>6000</v>
      </c>
      <c r="D110">
        <f>IF(E22&gt;$A$10,-100,(Sheet4!$A$7*'Engine Deck'!B117-Sheet4!E35)*E9/Sheet4!$B$2)</f>
        <v>-100</v>
      </c>
      <c r="E110">
        <f>IF(F22&gt;$A$10,-100,(Sheet4!$A$7*'Engine Deck'!C117-Sheet4!F35)*F9/Sheet4!$B$2)</f>
        <v>-100</v>
      </c>
      <c r="F110">
        <f>IF(G22&gt;$A$10,-100,(Sheet4!$A$7*'Engine Deck'!D117-Sheet4!G35)*G9/Sheet4!$B$2)</f>
        <v>-100</v>
      </c>
      <c r="G110">
        <f>IF(H22&gt;$A$10,-100,(Sheet4!$A$7*'Engine Deck'!E117-Sheet4!H35)*H9/Sheet4!$B$2)</f>
        <v>13.638720866374758</v>
      </c>
      <c r="H110">
        <f>IF(I22&gt;$A$10,-100,(Sheet4!$A$7*'Engine Deck'!F117-Sheet4!I35)*I9/Sheet4!$B$2)</f>
        <v>18.639386676654837</v>
      </c>
      <c r="I110">
        <f>IF(J22&gt;$A$10,-100,(Sheet4!$A$7*'Engine Deck'!G117-Sheet4!J35)*J9/Sheet4!$B$2)</f>
        <v>20.688764830080526</v>
      </c>
      <c r="J110">
        <f>IF(K22&gt;$A$10,-100,(Sheet4!$A$7*'Engine Deck'!H117-Sheet4!K35)*K9/Sheet4!$B$2)</f>
        <v>19.251312059548553</v>
      </c>
      <c r="K110">
        <f>IF(L22&gt;$A$10,-100,(Sheet4!$A$7*'Engine Deck'!I117-Sheet4!L35)*L9/Sheet4!$B$2)</f>
        <v>14.497994175934432</v>
      </c>
      <c r="L110">
        <f>IF(M22&gt;$A$10,-100,(Sheet4!$A$7*'Engine Deck'!J117-Sheet4!M35)*M9/Sheet4!$B$2)</f>
        <v>4.0779464188397778</v>
      </c>
      <c r="M110">
        <f>IF(N22&gt;$A$10,-100,(Sheet4!$A$7*'Engine Deck'!K117-Sheet4!N35)*N9/Sheet4!$B$2)</f>
        <v>-8.2870048536799814</v>
      </c>
      <c r="N110">
        <f>IF(O22&gt;$A$10,-100,(Sheet4!$A$7*'Engine Deck'!L117-Sheet4!O35)*O9/Sheet4!$B$2)</f>
        <v>-25.305785893252814</v>
      </c>
      <c r="O110" s="6"/>
    </row>
    <row r="111" spans="3:15" x14ac:dyDescent="0.25">
      <c r="C111">
        <v>7000</v>
      </c>
      <c r="D111">
        <f>IF(E23&gt;$A$10,-100,(Sheet4!$A$7*'Engine Deck'!B118-Sheet4!E36)*E10/Sheet4!$B$2)</f>
        <v>-100</v>
      </c>
      <c r="E111">
        <f>IF(F23&gt;$A$10,-100,(Sheet4!$A$7*'Engine Deck'!C118-Sheet4!F36)*F10/Sheet4!$B$2)</f>
        <v>-100</v>
      </c>
      <c r="F111">
        <f>IF(G23&gt;$A$10,-100,(Sheet4!$A$7*'Engine Deck'!D118-Sheet4!G36)*G10/Sheet4!$B$2)</f>
        <v>-100</v>
      </c>
      <c r="G111">
        <f>IF(H23&gt;$A$10,-100,(Sheet4!$A$7*'Engine Deck'!E118-Sheet4!H36)*H10/Sheet4!$B$2)</f>
        <v>10.117026880049444</v>
      </c>
      <c r="H111">
        <f>IF(I23&gt;$A$10,-100,(Sheet4!$A$7*'Engine Deck'!F118-Sheet4!I36)*I10/Sheet4!$B$2)</f>
        <v>14.813657848473545</v>
      </c>
      <c r="I111">
        <f>IF(J23&gt;$A$10,-100,(Sheet4!$A$7*'Engine Deck'!G118-Sheet4!J36)*J10/Sheet4!$B$2)</f>
        <v>17.33121712086848</v>
      </c>
      <c r="J111">
        <f>IF(K23&gt;$A$10,-100,(Sheet4!$A$7*'Engine Deck'!H118-Sheet4!K36)*K10/Sheet4!$B$2)</f>
        <v>17.546020269782151</v>
      </c>
      <c r="K111">
        <f>IF(L23&gt;$A$10,-100,(Sheet4!$A$7*'Engine Deck'!I118-Sheet4!L36)*L10/Sheet4!$B$2)</f>
        <v>13.88327682331945</v>
      </c>
      <c r="L111">
        <f>IF(M23&gt;$A$10,-100,(Sheet4!$A$7*'Engine Deck'!J118-Sheet4!M36)*M10/Sheet4!$B$2)</f>
        <v>4.8039660236860824</v>
      </c>
      <c r="M111">
        <f>IF(N23&gt;$A$10,-100,(Sheet4!$A$7*'Engine Deck'!K118-Sheet4!N36)*N10/Sheet4!$B$2)</f>
        <v>-5.336324104768523</v>
      </c>
      <c r="N111">
        <f>IF(O23&gt;$A$10,-100,(Sheet4!$A$7*'Engine Deck'!L118-Sheet4!O36)*O10/Sheet4!$B$2)</f>
        <v>-19.46634389853503</v>
      </c>
      <c r="O111" s="6"/>
    </row>
    <row r="112" spans="3:15" x14ac:dyDescent="0.25">
      <c r="C112">
        <v>8000</v>
      </c>
      <c r="D112">
        <f>IF(E24&gt;$A$10,-100,(Sheet4!$A$7*'Engine Deck'!B119-Sheet4!E37)*E11/Sheet4!$B$2)</f>
        <v>-100</v>
      </c>
      <c r="E112">
        <f>IF(F24&gt;$A$10,-100,(Sheet4!$A$7*'Engine Deck'!C119-Sheet4!F37)*F11/Sheet4!$B$2)</f>
        <v>-100</v>
      </c>
      <c r="F112">
        <f>IF(G24&gt;$A$10,-100,(Sheet4!$A$7*'Engine Deck'!D119-Sheet4!G37)*G11/Sheet4!$B$2)</f>
        <v>-100</v>
      </c>
      <c r="G112">
        <f>IF(H24&gt;$A$10,-100,(Sheet4!$A$7*'Engine Deck'!E119-Sheet4!H37)*H11/Sheet4!$B$2)</f>
        <v>6.7943253521921099</v>
      </c>
      <c r="H112">
        <f>IF(I24&gt;$A$10,-100,(Sheet4!$A$7*'Engine Deck'!F119-Sheet4!I37)*I11/Sheet4!$B$2)</f>
        <v>11.277216509553122</v>
      </c>
      <c r="I112">
        <f>IF(J24&gt;$A$10,-100,(Sheet4!$A$7*'Engine Deck'!G119-Sheet4!J37)*J11/Sheet4!$B$2)</f>
        <v>13.709553347848349</v>
      </c>
      <c r="J112">
        <f>IF(K24&gt;$A$10,-100,(Sheet4!$A$7*'Engine Deck'!H119-Sheet4!K37)*K11/Sheet4!$B$2)</f>
        <v>14.264349807835378</v>
      </c>
      <c r="K112">
        <f>IF(L24&gt;$A$10,-100,(Sheet4!$A$7*'Engine Deck'!I119-Sheet4!L37)*L11/Sheet4!$B$2)</f>
        <v>12.879065352686125</v>
      </c>
      <c r="L112">
        <f>IF(M24&gt;$A$10,-100,(Sheet4!$A$7*'Engine Deck'!J119-Sheet4!M37)*M11/Sheet4!$B$2)</f>
        <v>4.8571112858031418</v>
      </c>
      <c r="M112">
        <f>IF(N24&gt;$A$10,-100,(Sheet4!$A$7*'Engine Deck'!K119-Sheet4!N37)*N11/Sheet4!$B$2)</f>
        <v>-3.3731597407568863</v>
      </c>
      <c r="N112">
        <f>IF(O24&gt;$A$10,-100,(Sheet4!$A$7*'Engine Deck'!L119-Sheet4!O37)*O11/Sheet4!$B$2)</f>
        <v>-15.019112355138059</v>
      </c>
      <c r="O112" s="6"/>
    </row>
    <row r="113" spans="3:15" x14ac:dyDescent="0.25">
      <c r="C113">
        <v>9000</v>
      </c>
      <c r="D113">
        <f>IF(E25&gt;$A$10,-100,(Sheet4!$A$7*'Engine Deck'!B120-Sheet4!E38)*E12/Sheet4!$B$2)</f>
        <v>-100</v>
      </c>
      <c r="E113">
        <f>IF(F25&gt;$A$10,-100,(Sheet4!$A$7*'Engine Deck'!C120-Sheet4!F38)*F12/Sheet4!$B$2)</f>
        <v>-100</v>
      </c>
      <c r="F113">
        <f>IF(G25&gt;$A$10,-100,(Sheet4!$A$7*'Engine Deck'!D120-Sheet4!G38)*G12/Sheet4!$B$2)</f>
        <v>-100</v>
      </c>
      <c r="G113">
        <f>IF(H25&gt;$A$10,-100,(Sheet4!$A$7*'Engine Deck'!E120-Sheet4!H38)*H12/Sheet4!$B$2)</f>
        <v>-100</v>
      </c>
      <c r="H113">
        <f>IF(I25&gt;$A$10,-100,(Sheet4!$A$7*'Engine Deck'!F120-Sheet4!I38)*I12/Sheet4!$B$2)</f>
        <v>7.976223509726843</v>
      </c>
      <c r="I113">
        <f>IF(J25&gt;$A$10,-100,(Sheet4!$A$7*'Engine Deck'!G120-Sheet4!J38)*J12/Sheet4!$B$2)</f>
        <v>10.37519399300788</v>
      </c>
      <c r="J113">
        <f>IF(K25&gt;$A$10,-100,(Sheet4!$A$7*'Engine Deck'!H120-Sheet4!K38)*K12/Sheet4!$B$2)</f>
        <v>11.066223605884693</v>
      </c>
      <c r="K113">
        <f>IF(L25&gt;$A$10,-100,(Sheet4!$A$7*'Engine Deck'!I120-Sheet4!L38)*L12/Sheet4!$B$2)</f>
        <v>10.045413573786371</v>
      </c>
      <c r="L113">
        <f>IF(M25&gt;$A$10,-100,(Sheet4!$A$7*'Engine Deck'!J120-Sheet4!M38)*M12/Sheet4!$B$2)</f>
        <v>4.3062981863464032</v>
      </c>
      <c r="M113">
        <f>IF(N25&gt;$A$10,-100,(Sheet4!$A$7*'Engine Deck'!K120-Sheet4!N38)*N12/Sheet4!$B$2)</f>
        <v>-2.2188827196075867</v>
      </c>
      <c r="N113">
        <f>IF(O25&gt;$A$10,-100,(Sheet4!$A$7*'Engine Deck'!L120-Sheet4!O38)*O12/Sheet4!$B$2)</f>
        <v>-11.720667027106787</v>
      </c>
      <c r="O113" s="6"/>
    </row>
    <row r="114" spans="3:15" x14ac:dyDescent="0.25">
      <c r="C114">
        <v>10000</v>
      </c>
      <c r="D114">
        <f>IF(E26&gt;$A$10,-100,(Sheet4!$A$7*'Engine Deck'!B121-Sheet4!E39)*E13/Sheet4!$B$2)</f>
        <v>-100</v>
      </c>
      <c r="E114">
        <f>IF(F26&gt;$A$10,-100,(Sheet4!$A$7*'Engine Deck'!C121-Sheet4!F39)*F13/Sheet4!$B$2)</f>
        <v>-100</v>
      </c>
      <c r="F114">
        <f>IF(G26&gt;$A$10,-100,(Sheet4!$A$7*'Engine Deck'!D121-Sheet4!G39)*G13/Sheet4!$B$2)</f>
        <v>-100</v>
      </c>
      <c r="G114">
        <f>IF(H26&gt;$A$10,-100,(Sheet4!$A$7*'Engine Deck'!E121-Sheet4!H39)*H13/Sheet4!$B$2)</f>
        <v>-100</v>
      </c>
      <c r="H114">
        <f>IF(I26&gt;$A$10,-100,(Sheet4!$A$7*'Engine Deck'!F121-Sheet4!I39)*I13/Sheet4!$B$2)</f>
        <v>4.8521793895532568</v>
      </c>
      <c r="I114">
        <f>IF(J26&gt;$A$10,-100,(Sheet4!$A$7*'Engine Deck'!G121-Sheet4!J39)*J13/Sheet4!$B$2)</f>
        <v>7.2697402946235732</v>
      </c>
      <c r="J114">
        <f>IF(K26&gt;$A$10,-100,(Sheet4!$A$7*'Engine Deck'!H121-Sheet4!K39)*K13/Sheet4!$B$2)</f>
        <v>8.1110746218236223</v>
      </c>
      <c r="K114">
        <f>IF(L26&gt;$A$10,-100,(Sheet4!$A$7*'Engine Deck'!I121-Sheet4!L39)*L13/Sheet4!$B$2)</f>
        <v>7.4275471234741124</v>
      </c>
      <c r="L114">
        <f>IF(M26&gt;$A$10,-100,(Sheet4!$A$7*'Engine Deck'!J121-Sheet4!M39)*M13/Sheet4!$B$2)</f>
        <v>1.8333326709252438</v>
      </c>
      <c r="M114">
        <f>IF(N26&gt;$A$10,-100,(Sheet4!$A$7*'Engine Deck'!K121-Sheet4!N39)*N13/Sheet4!$B$2)</f>
        <v>-1.8062780893542516</v>
      </c>
      <c r="N114">
        <f>IF(O26&gt;$A$10,-100,(Sheet4!$A$7*'Engine Deck'!L121-Sheet4!O39)*O13/Sheet4!$B$2)</f>
        <v>-9.4709423718394383</v>
      </c>
      <c r="O114" s="6"/>
    </row>
    <row r="117" spans="3:15" x14ac:dyDescent="0.25">
      <c r="C117" t="s">
        <v>38</v>
      </c>
      <c r="D117" s="5" t="s">
        <v>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3:15" x14ac:dyDescent="0.25">
      <c r="C118">
        <v>1</v>
      </c>
      <c r="D118">
        <v>0</v>
      </c>
      <c r="E118">
        <v>0.1</v>
      </c>
      <c r="F118">
        <v>0.2</v>
      </c>
      <c r="G118">
        <v>0.3</v>
      </c>
      <c r="H118">
        <v>0.4</v>
      </c>
      <c r="I118">
        <v>0.5</v>
      </c>
      <c r="J118">
        <v>0.6</v>
      </c>
      <c r="K118">
        <v>0.7</v>
      </c>
      <c r="L118">
        <v>0.8</v>
      </c>
      <c r="M118">
        <v>0.9</v>
      </c>
      <c r="N118">
        <v>1</v>
      </c>
    </row>
    <row r="119" spans="3:15" x14ac:dyDescent="0.25">
      <c r="C119">
        <v>0</v>
      </c>
      <c r="D119">
        <f>IF(E16&gt;$A$10,-100,(Sheet4!$A$7*'Engine Deck'!B126-Sheet4!E29)*E3/Sheet4!$B$2)</f>
        <v>-100</v>
      </c>
      <c r="E119">
        <f>IF(F16&gt;$A$10,-100,(Sheet4!$A$7*'Engine Deck'!C126-Sheet4!F29)*F3/Sheet4!$B$2)</f>
        <v>-100</v>
      </c>
      <c r="F119">
        <f>IF(G16&gt;$A$10,-100,(Sheet4!$A$7*'Engine Deck'!D126-Sheet4!G29)*G3/Sheet4!$B$2)</f>
        <v>28.181583814879847</v>
      </c>
      <c r="G119">
        <f>IF(H16&gt;$A$10,-100,(Sheet4!$A$7*'Engine Deck'!E126-Sheet4!H29)*H3/Sheet4!$B$2)</f>
        <v>39.973616882485949</v>
      </c>
      <c r="H119">
        <f>IF(I16&gt;$A$10,-100,(Sheet4!$A$7*'Engine Deck'!F126-Sheet4!I29)*I3/Sheet4!$B$2)</f>
        <v>46.331505039517737</v>
      </c>
      <c r="I119">
        <f>IF(J16&gt;$A$10,-100,(Sheet4!$A$7*'Engine Deck'!G126-Sheet4!J29)*J3/Sheet4!$B$2)</f>
        <v>46.830849841184921</v>
      </c>
      <c r="J119">
        <f>IF(K16&gt;$A$10,-100,(Sheet4!$A$7*'Engine Deck'!H126-Sheet4!K29)*K3/Sheet4!$B$2)</f>
        <v>40.667779283043124</v>
      </c>
      <c r="K119">
        <f>IF(L16&gt;$A$10,-100,(Sheet4!$A$7*'Engine Deck'!I126-Sheet4!L29)*L3/Sheet4!$B$2)</f>
        <v>26.884850626072684</v>
      </c>
      <c r="L119">
        <f>IF(M16&gt;$A$10,-100,(Sheet4!$A$7*'Engine Deck'!J126-Sheet4!M29)*M3/Sheet4!$B$2)</f>
        <v>3.4409295935566004</v>
      </c>
      <c r="M119">
        <f>IF(N16&gt;$A$10,-100,(Sheet4!$A$7*'Engine Deck'!K126-Sheet4!N29)*N3/Sheet4!$B$2)</f>
        <v>-28.712636487072629</v>
      </c>
      <c r="N119">
        <f>IF(O16&gt;$A$10,-100,(Sheet4!$A$7*'Engine Deck'!L126-Sheet4!O29)*O3/Sheet4!$B$2)</f>
        <v>-71.899097192709533</v>
      </c>
      <c r="O119" s="6" t="s">
        <v>41</v>
      </c>
    </row>
    <row r="120" spans="3:15" x14ac:dyDescent="0.25">
      <c r="C120">
        <v>1000</v>
      </c>
      <c r="D120">
        <f>IF(E17&gt;$A$10,-100,(Sheet4!$A$7*'Engine Deck'!B127-Sheet4!E30)*E4/Sheet4!$B$2)</f>
        <v>-100</v>
      </c>
      <c r="E120">
        <f>IF(F17&gt;$A$10,-100,(Sheet4!$A$7*'Engine Deck'!C127-Sheet4!F30)*F4/Sheet4!$B$2)</f>
        <v>-100</v>
      </c>
      <c r="F120">
        <f>IF(G17&gt;$A$10,-100,(Sheet4!$A$7*'Engine Deck'!D127-Sheet4!G30)*G4/Sheet4!$B$2)</f>
        <v>24.223631010315152</v>
      </c>
      <c r="G120">
        <f>IF(H17&gt;$A$10,-100,(Sheet4!$A$7*'Engine Deck'!E127-Sheet4!H30)*H4/Sheet4!$B$2)</f>
        <v>36.120285117770095</v>
      </c>
      <c r="H120">
        <f>IF(I17&gt;$A$10,-100,(Sheet4!$A$7*'Engine Deck'!F127-Sheet4!I30)*I4/Sheet4!$B$2)</f>
        <v>42.997559740323084</v>
      </c>
      <c r="I120">
        <f>IF(J17&gt;$A$10,-100,(Sheet4!$A$7*'Engine Deck'!G127-Sheet4!J30)*J4/Sheet4!$B$2)</f>
        <v>44.200923039370224</v>
      </c>
      <c r="J120">
        <f>IF(K17&gt;$A$10,-100,(Sheet4!$A$7*'Engine Deck'!H127-Sheet4!K30)*K4/Sheet4!$B$2)</f>
        <v>39.543644255534304</v>
      </c>
      <c r="K120">
        <f>IF(L17&gt;$A$10,-100,(Sheet4!$A$7*'Engine Deck'!I127-Sheet4!L30)*L4/Sheet4!$B$2)</f>
        <v>28.216945513051677</v>
      </c>
      <c r="L120">
        <f>IF(M17&gt;$A$10,-100,(Sheet4!$A$7*'Engine Deck'!J127-Sheet4!M30)*M4/Sheet4!$B$2)</f>
        <v>8.2187262546016147</v>
      </c>
      <c r="M120">
        <f>IF(N17&gt;$A$10,-100,(Sheet4!$A$7*'Engine Deck'!K127-Sheet4!N30)*N4/Sheet4!$B$2)</f>
        <v>-19.103677423273105</v>
      </c>
      <c r="N120">
        <f>IF(O17&gt;$A$10,-100,(Sheet4!$A$7*'Engine Deck'!L127-Sheet4!O30)*O4/Sheet4!$B$2)</f>
        <v>-56.036948372514857</v>
      </c>
      <c r="O120" s="6"/>
    </row>
    <row r="121" spans="3:15" x14ac:dyDescent="0.25">
      <c r="C121">
        <v>2000</v>
      </c>
      <c r="D121">
        <f>IF(E18&gt;$A$10,-100,(Sheet4!$A$7*'Engine Deck'!B128-Sheet4!E31)*E5/Sheet4!$B$2)</f>
        <v>-100</v>
      </c>
      <c r="E121">
        <f>IF(F18&gt;$A$10,-100,(Sheet4!$A$7*'Engine Deck'!C128-Sheet4!F31)*F5/Sheet4!$B$2)</f>
        <v>-100</v>
      </c>
      <c r="F121">
        <f>IF(G18&gt;$A$10,-100,(Sheet4!$A$7*'Engine Deck'!D128-Sheet4!G31)*G5/Sheet4!$B$2)</f>
        <v>19.99249515483233</v>
      </c>
      <c r="G121">
        <f>IF(H18&gt;$A$10,-100,(Sheet4!$A$7*'Engine Deck'!E128-Sheet4!H31)*H5/Sheet4!$B$2)</f>
        <v>30.787809989271043</v>
      </c>
      <c r="H121">
        <f>IF(I18&gt;$A$10,-100,(Sheet4!$A$7*'Engine Deck'!F128-Sheet4!I31)*I5/Sheet4!$B$2)</f>
        <v>37.966277238962</v>
      </c>
      <c r="I121">
        <f>IF(J18&gt;$A$10,-100,(Sheet4!$A$7*'Engine Deck'!G128-Sheet4!J31)*J5/Sheet4!$B$2)</f>
        <v>41.282993539640529</v>
      </c>
      <c r="J121">
        <f>IF(K18&gt;$A$10,-100,(Sheet4!$A$7*'Engine Deck'!H128-Sheet4!K31)*K5/Sheet4!$B$2)</f>
        <v>37.884349030239143</v>
      </c>
      <c r="K121">
        <f>IF(L18&gt;$A$10,-100,(Sheet4!$A$7*'Engine Deck'!I128-Sheet4!L31)*L5/Sheet4!$B$2)</f>
        <v>28.660346933875672</v>
      </c>
      <c r="L121">
        <f>IF(M18&gt;$A$10,-100,(Sheet4!$A$7*'Engine Deck'!J128-Sheet4!M31)*M5/Sheet4!$B$2)</f>
        <v>11.614756142048851</v>
      </c>
      <c r="M121">
        <f>IF(N18&gt;$A$10,-100,(Sheet4!$A$7*'Engine Deck'!K128-Sheet4!N31)*N5/Sheet4!$B$2)</f>
        <v>-11.493262095801848</v>
      </c>
      <c r="N121">
        <f>IF(O18&gt;$A$10,-100,(Sheet4!$A$7*'Engine Deck'!L128-Sheet4!O31)*O5/Sheet4!$B$2)</f>
        <v>-42.950863998090604</v>
      </c>
      <c r="O121" s="6"/>
    </row>
    <row r="122" spans="3:15" x14ac:dyDescent="0.25">
      <c r="C122">
        <v>3000</v>
      </c>
      <c r="D122">
        <f>IF(E19&gt;$A$10,-100,(Sheet4!$A$7*'Engine Deck'!B129-Sheet4!E32)*E6/Sheet4!$B$2)</f>
        <v>-100</v>
      </c>
      <c r="E122">
        <f>IF(F19&gt;$A$10,-100,(Sheet4!$A$7*'Engine Deck'!C129-Sheet4!F32)*F6/Sheet4!$B$2)</f>
        <v>-100</v>
      </c>
      <c r="F122">
        <f>IF(G19&gt;$A$10,-100,(Sheet4!$A$7*'Engine Deck'!D129-Sheet4!G32)*G6/Sheet4!$B$2)</f>
        <v>-100</v>
      </c>
      <c r="G122">
        <f>IF(H19&gt;$A$10,-100,(Sheet4!$A$7*'Engine Deck'!E129-Sheet4!H32)*H6/Sheet4!$B$2)</f>
        <v>25.932707087459811</v>
      </c>
      <c r="H122">
        <f>IF(I19&gt;$A$10,-100,(Sheet4!$A$7*'Engine Deck'!F129-Sheet4!I32)*I6/Sheet4!$B$2)</f>
        <v>32.416370106541621</v>
      </c>
      <c r="I122">
        <f>IF(J19&gt;$A$10,-100,(Sheet4!$A$7*'Engine Deck'!G129-Sheet4!J32)*J6/Sheet4!$B$2)</f>
        <v>35.766121765374244</v>
      </c>
      <c r="J122">
        <f>IF(K19&gt;$A$10,-100,(Sheet4!$A$7*'Engine Deck'!H129-Sheet4!K32)*K6/Sheet4!$B$2)</f>
        <v>35.760852582214838</v>
      </c>
      <c r="K122">
        <f>IF(L19&gt;$A$10,-100,(Sheet4!$A$7*'Engine Deck'!I129-Sheet4!L32)*L6/Sheet4!$B$2)</f>
        <v>28.379280244791357</v>
      </c>
      <c r="L122">
        <f>IF(M19&gt;$A$10,-100,(Sheet4!$A$7*'Engine Deck'!J129-Sheet4!M32)*M6/Sheet4!$B$2)</f>
        <v>13.846631675029693</v>
      </c>
      <c r="M122">
        <f>IF(N19&gt;$A$10,-100,(Sheet4!$A$7*'Engine Deck'!K129-Sheet4!N32)*N6/Sheet4!$B$2)</f>
        <v>-5.5934568129401478</v>
      </c>
      <c r="N122">
        <f>IF(O19&gt;$A$10,-100,(Sheet4!$A$7*'Engine Deck'!L129-Sheet4!O32)*O6/Sheet4!$B$2)</f>
        <v>-32.26739509580969</v>
      </c>
      <c r="O122" s="6"/>
    </row>
    <row r="123" spans="3:15" x14ac:dyDescent="0.25">
      <c r="C123">
        <v>4000</v>
      </c>
      <c r="D123">
        <f>IF(E20&gt;$A$10,-100,(Sheet4!$A$7*'Engine Deck'!B130-Sheet4!E33)*E7/Sheet4!$B$2)</f>
        <v>-100</v>
      </c>
      <c r="E123">
        <f>IF(F20&gt;$A$10,-100,(Sheet4!$A$7*'Engine Deck'!C130-Sheet4!F33)*F7/Sheet4!$B$2)</f>
        <v>-100</v>
      </c>
      <c r="F123">
        <f>IF(G20&gt;$A$10,-100,(Sheet4!$A$7*'Engine Deck'!D130-Sheet4!G33)*G7/Sheet4!$B$2)</f>
        <v>-100</v>
      </c>
      <c r="G123">
        <f>IF(H20&gt;$A$10,-100,(Sheet4!$A$7*'Engine Deck'!E130-Sheet4!H33)*H7/Sheet4!$B$2)</f>
        <v>21.489357659771244</v>
      </c>
      <c r="H123">
        <f>IF(I20&gt;$A$10,-100,(Sheet4!$A$7*'Engine Deck'!F130-Sheet4!I33)*I7/Sheet4!$B$2)</f>
        <v>27.380690467469428</v>
      </c>
      <c r="I123">
        <f>IF(J20&gt;$A$10,-100,(Sheet4!$A$7*'Engine Deck'!G130-Sheet4!J33)*J7/Sheet4!$B$2)</f>
        <v>30.446114927099757</v>
      </c>
      <c r="J123">
        <f>IF(K20&gt;$A$10,-100,(Sheet4!$A$7*'Engine Deck'!H130-Sheet4!K33)*K7/Sheet4!$B$2)</f>
        <v>30.545426901816711</v>
      </c>
      <c r="K123">
        <f>IF(L20&gt;$A$10,-100,(Sheet4!$A$7*'Engine Deck'!I130-Sheet4!L33)*L7/Sheet4!$B$2)</f>
        <v>27.375227907552564</v>
      </c>
      <c r="L123">
        <f>IF(M20&gt;$A$10,-100,(Sheet4!$A$7*'Engine Deck'!J130-Sheet4!M33)*M7/Sheet4!$B$2)</f>
        <v>15.078565114955042</v>
      </c>
      <c r="M123">
        <f>IF(N20&gt;$A$10,-100,(Sheet4!$A$7*'Engine Deck'!K130-Sheet4!N33)*N7/Sheet4!$B$2)</f>
        <v>-1.1792998172390676</v>
      </c>
      <c r="N123">
        <f>IF(O20&gt;$A$10,-100,(Sheet4!$A$7*'Engine Deck'!L130-Sheet4!O33)*O7/Sheet4!$B$2)</f>
        <v>-23.686750270393762</v>
      </c>
      <c r="O123" s="6"/>
    </row>
    <row r="124" spans="3:15" x14ac:dyDescent="0.25">
      <c r="C124">
        <v>5000</v>
      </c>
      <c r="D124">
        <f>IF(E21&gt;$A$10,-100,(Sheet4!$A$7*'Engine Deck'!B131-Sheet4!E34)*E8/Sheet4!$B$2)</f>
        <v>-100</v>
      </c>
      <c r="E124">
        <f>IF(F21&gt;$A$10,-100,(Sheet4!$A$7*'Engine Deck'!C131-Sheet4!F34)*F8/Sheet4!$B$2)</f>
        <v>-100</v>
      </c>
      <c r="F124">
        <f>IF(G21&gt;$A$10,-100,(Sheet4!$A$7*'Engine Deck'!D131-Sheet4!G34)*G8/Sheet4!$B$2)</f>
        <v>-100</v>
      </c>
      <c r="G124">
        <f>IF(H21&gt;$A$10,-100,(Sheet4!$A$7*'Engine Deck'!E131-Sheet4!H34)*H8/Sheet4!$B$2)</f>
        <v>17.404596753237083</v>
      </c>
      <c r="H124">
        <f>IF(I21&gt;$A$10,-100,(Sheet4!$A$7*'Engine Deck'!F131-Sheet4!I34)*I8/Sheet4!$B$2)</f>
        <v>22.803788885979348</v>
      </c>
      <c r="I124">
        <f>IF(J21&gt;$A$10,-100,(Sheet4!$A$7*'Engine Deck'!G131-Sheet4!J34)*J8/Sheet4!$B$2)</f>
        <v>25.638417823103758</v>
      </c>
      <c r="J124">
        <f>IF(K21&gt;$A$10,-100,(Sheet4!$A$7*'Engine Deck'!H131-Sheet4!K34)*K8/Sheet4!$B$2)</f>
        <v>25.847122995515857</v>
      </c>
      <c r="K124">
        <f>IF(L21&gt;$A$10,-100,(Sheet4!$A$7*'Engine Deck'!I131-Sheet4!L34)*L8/Sheet4!$B$2)</f>
        <v>23.193139683801572</v>
      </c>
      <c r="L124">
        <f>IF(M21&gt;$A$10,-100,(Sheet4!$A$7*'Engine Deck'!J131-Sheet4!M34)*M8/Sheet4!$B$2)</f>
        <v>15.495552387815078</v>
      </c>
      <c r="M124">
        <f>IF(N21&gt;$A$10,-100,(Sheet4!$A$7*'Engine Deck'!K131-Sheet4!N34)*N8/Sheet4!$B$2)</f>
        <v>1.9991942797166975</v>
      </c>
      <c r="N124">
        <f>IF(O21&gt;$A$10,-100,(Sheet4!$A$7*'Engine Deck'!L131-Sheet4!O34)*O8/Sheet4!$B$2)</f>
        <v>-16.879679825520526</v>
      </c>
      <c r="O124" s="6"/>
    </row>
    <row r="125" spans="3:15" x14ac:dyDescent="0.25">
      <c r="C125">
        <v>6000</v>
      </c>
      <c r="D125">
        <f>IF(E22&gt;$A$10,-100,(Sheet4!$A$7*'Engine Deck'!B132-Sheet4!E35)*E9/Sheet4!$B$2)</f>
        <v>-100</v>
      </c>
      <c r="E125">
        <f>IF(F22&gt;$A$10,-100,(Sheet4!$A$7*'Engine Deck'!C132-Sheet4!F35)*F9/Sheet4!$B$2)</f>
        <v>-100</v>
      </c>
      <c r="F125">
        <f>IF(G22&gt;$A$10,-100,(Sheet4!$A$7*'Engine Deck'!D132-Sheet4!G35)*G9/Sheet4!$B$2)</f>
        <v>-100</v>
      </c>
      <c r="G125">
        <f>IF(H22&gt;$A$10,-100,(Sheet4!$A$7*'Engine Deck'!E132-Sheet4!H35)*H9/Sheet4!$B$2)</f>
        <v>13.638720866374758</v>
      </c>
      <c r="H125">
        <f>IF(I22&gt;$A$10,-100,(Sheet4!$A$7*'Engine Deck'!F132-Sheet4!I35)*I9/Sheet4!$B$2)</f>
        <v>18.639386676654837</v>
      </c>
      <c r="I125">
        <f>IF(J22&gt;$A$10,-100,(Sheet4!$A$7*'Engine Deck'!G132-Sheet4!J35)*J9/Sheet4!$B$2)</f>
        <v>21.289077649277772</v>
      </c>
      <c r="J125">
        <f>IF(K22&gt;$A$10,-100,(Sheet4!$A$7*'Engine Deck'!H132-Sheet4!K35)*K9/Sheet4!$B$2)</f>
        <v>21.603426909625615</v>
      </c>
      <c r="K125">
        <f>IF(L22&gt;$A$10,-100,(Sheet4!$A$7*'Engine Deck'!I132-Sheet4!L35)*L9/Sheet4!$B$2)</f>
        <v>19.407433955287797</v>
      </c>
      <c r="L125">
        <f>IF(M22&gt;$A$10,-100,(Sheet4!$A$7*'Engine Deck'!J132-Sheet4!M35)*M9/Sheet4!$B$2)</f>
        <v>12.476555802505466</v>
      </c>
      <c r="M125">
        <f>IF(N22&gt;$A$10,-100,(Sheet4!$A$7*'Engine Deck'!K132-Sheet4!N35)*N9/Sheet4!$B$2)</f>
        <v>4.0634050600317284</v>
      </c>
      <c r="N125">
        <f>IF(O22&gt;$A$10,-100,(Sheet4!$A$7*'Engine Deck'!L132-Sheet4!O35)*O9/Sheet4!$B$2)</f>
        <v>-11.701203544241615</v>
      </c>
      <c r="O125" s="6"/>
    </row>
    <row r="126" spans="3:15" x14ac:dyDescent="0.25">
      <c r="C126">
        <v>7000</v>
      </c>
      <c r="D126">
        <f>IF(E23&gt;$A$10,-100,(Sheet4!$A$7*'Engine Deck'!B133-Sheet4!E36)*E10/Sheet4!$B$2)</f>
        <v>-100</v>
      </c>
      <c r="E126">
        <f>IF(F23&gt;$A$10,-100,(Sheet4!$A$7*'Engine Deck'!C133-Sheet4!F36)*F10/Sheet4!$B$2)</f>
        <v>-100</v>
      </c>
      <c r="F126">
        <f>IF(G23&gt;$A$10,-100,(Sheet4!$A$7*'Engine Deck'!D133-Sheet4!G36)*G10/Sheet4!$B$2)</f>
        <v>-100</v>
      </c>
      <c r="G126">
        <f>IF(H23&gt;$A$10,-100,(Sheet4!$A$7*'Engine Deck'!E133-Sheet4!H36)*H10/Sheet4!$B$2)</f>
        <v>10.117026880049444</v>
      </c>
      <c r="H126">
        <f>IF(I23&gt;$A$10,-100,(Sheet4!$A$7*'Engine Deck'!F133-Sheet4!I36)*I10/Sheet4!$B$2)</f>
        <v>14.813657848473545</v>
      </c>
      <c r="I126">
        <f>IF(J23&gt;$A$10,-100,(Sheet4!$A$7*'Engine Deck'!G133-Sheet4!J36)*J10/Sheet4!$B$2)</f>
        <v>17.33121712086848</v>
      </c>
      <c r="J126">
        <f>IF(K23&gt;$A$10,-100,(Sheet4!$A$7*'Engine Deck'!H133-Sheet4!K36)*K10/Sheet4!$B$2)</f>
        <v>17.763260784088363</v>
      </c>
      <c r="K126">
        <f>IF(L23&gt;$A$10,-100,(Sheet4!$A$7*'Engine Deck'!I133-Sheet4!L36)*L10/Sheet4!$B$2)</f>
        <v>15.993870149996845</v>
      </c>
      <c r="L126">
        <f>IF(M23&gt;$A$10,-100,(Sheet4!$A$7*'Engine Deck'!J133-Sheet4!M36)*M10/Sheet4!$B$2)</f>
        <v>9.5880716063370333</v>
      </c>
      <c r="M126">
        <f>IF(N23&gt;$A$10,-100,(Sheet4!$A$7*'Engine Deck'!K133-Sheet4!N36)*N10/Sheet4!$B$2)</f>
        <v>3.0153111146639939</v>
      </c>
      <c r="N126">
        <f>IF(O23&gt;$A$10,-100,(Sheet4!$A$7*'Engine Deck'!L133-Sheet4!O36)*O10/Sheet4!$B$2)</f>
        <v>-7.7792918629301484</v>
      </c>
      <c r="O126" s="6"/>
    </row>
    <row r="127" spans="3:15" x14ac:dyDescent="0.25">
      <c r="C127">
        <v>8000</v>
      </c>
      <c r="D127">
        <f>IF(E24&gt;$A$10,-100,(Sheet4!$A$7*'Engine Deck'!B134-Sheet4!E37)*E11/Sheet4!$B$2)</f>
        <v>-100</v>
      </c>
      <c r="E127">
        <f>IF(F24&gt;$A$10,-100,(Sheet4!$A$7*'Engine Deck'!C134-Sheet4!F37)*F11/Sheet4!$B$2)</f>
        <v>-100</v>
      </c>
      <c r="F127">
        <f>IF(G24&gt;$A$10,-100,(Sheet4!$A$7*'Engine Deck'!D134-Sheet4!G37)*G11/Sheet4!$B$2)</f>
        <v>-100</v>
      </c>
      <c r="G127">
        <f>IF(H24&gt;$A$10,-100,(Sheet4!$A$7*'Engine Deck'!E134-Sheet4!H37)*H11/Sheet4!$B$2)</f>
        <v>6.7943253521921099</v>
      </c>
      <c r="H127">
        <f>IF(I24&gt;$A$10,-100,(Sheet4!$A$7*'Engine Deck'!F134-Sheet4!I37)*I11/Sheet4!$B$2)</f>
        <v>11.277216509553122</v>
      </c>
      <c r="I127">
        <f>IF(J24&gt;$A$10,-100,(Sheet4!$A$7*'Engine Deck'!G134-Sheet4!J37)*J11/Sheet4!$B$2)</f>
        <v>13.709553347848349</v>
      </c>
      <c r="J127">
        <f>IF(K24&gt;$A$10,-100,(Sheet4!$A$7*'Engine Deck'!H134-Sheet4!K37)*K11/Sheet4!$B$2)</f>
        <v>14.264349807835378</v>
      </c>
      <c r="K127">
        <f>IF(L24&gt;$A$10,-100,(Sheet4!$A$7*'Engine Deck'!I134-Sheet4!L37)*L11/Sheet4!$B$2)</f>
        <v>12.882247535547107</v>
      </c>
      <c r="L127">
        <f>IF(M24&gt;$A$10,-100,(Sheet4!$A$7*'Engine Deck'!J134-Sheet4!M37)*M11/Sheet4!$B$2)</f>
        <v>6.8704685374470387</v>
      </c>
      <c r="M127">
        <f>IF(N24&gt;$A$10,-100,(Sheet4!$A$7*'Engine Deck'!K134-Sheet4!N37)*N11/Sheet4!$B$2)</f>
        <v>1.3926421897093784</v>
      </c>
      <c r="N127">
        <f>IF(O24&gt;$A$10,-100,(Sheet4!$A$7*'Engine Deck'!L134-Sheet4!O37)*O11/Sheet4!$B$2)</f>
        <v>-6.6548959418466049</v>
      </c>
      <c r="O127" s="6"/>
    </row>
    <row r="128" spans="3:15" x14ac:dyDescent="0.25">
      <c r="C128">
        <v>9000</v>
      </c>
      <c r="D128">
        <f>IF(E25&gt;$A$10,-100,(Sheet4!$A$7*'Engine Deck'!B135-Sheet4!E38)*E12/Sheet4!$B$2)</f>
        <v>-100</v>
      </c>
      <c r="E128">
        <f>IF(F25&gt;$A$10,-100,(Sheet4!$A$7*'Engine Deck'!C135-Sheet4!F38)*F12/Sheet4!$B$2)</f>
        <v>-100</v>
      </c>
      <c r="F128">
        <f>IF(G25&gt;$A$10,-100,(Sheet4!$A$7*'Engine Deck'!D135-Sheet4!G38)*G12/Sheet4!$B$2)</f>
        <v>-100</v>
      </c>
      <c r="G128">
        <f>IF(H25&gt;$A$10,-100,(Sheet4!$A$7*'Engine Deck'!E135-Sheet4!H38)*H12/Sheet4!$B$2)</f>
        <v>-100</v>
      </c>
      <c r="H128">
        <f>IF(I25&gt;$A$10,-100,(Sheet4!$A$7*'Engine Deck'!F135-Sheet4!I38)*I12/Sheet4!$B$2)</f>
        <v>7.976223509726843</v>
      </c>
      <c r="I128">
        <f>IF(J25&gt;$A$10,-100,(Sheet4!$A$7*'Engine Deck'!G135-Sheet4!J38)*J12/Sheet4!$B$2)</f>
        <v>10.37519399300788</v>
      </c>
      <c r="J128">
        <f>IF(K25&gt;$A$10,-100,(Sheet4!$A$7*'Engine Deck'!H135-Sheet4!K38)*K12/Sheet4!$B$2)</f>
        <v>11.066223605884693</v>
      </c>
      <c r="K128">
        <f>IF(L25&gt;$A$10,-100,(Sheet4!$A$7*'Engine Deck'!I135-Sheet4!L38)*L12/Sheet4!$B$2)</f>
        <v>10.045413573786371</v>
      </c>
      <c r="L128">
        <f>IF(M25&gt;$A$10,-100,(Sheet4!$A$7*'Engine Deck'!J135-Sheet4!M38)*M12/Sheet4!$B$2)</f>
        <v>4.3062981863464032</v>
      </c>
      <c r="M128">
        <f>IF(N25&gt;$A$10,-100,(Sheet4!$A$7*'Engine Deck'!K135-Sheet4!N38)*N12/Sheet4!$B$2)</f>
        <v>-0.18575607179413561</v>
      </c>
      <c r="N128">
        <f>IF(O25&gt;$A$10,-100,(Sheet4!$A$7*'Engine Deck'!L135-Sheet4!O38)*O12/Sheet4!$B$2)</f>
        <v>-6.9008984942964293</v>
      </c>
      <c r="O128" s="6"/>
    </row>
    <row r="129" spans="3:15" x14ac:dyDescent="0.25">
      <c r="C129">
        <v>10000</v>
      </c>
      <c r="D129">
        <f>IF(E26&gt;$A$10,-100,(Sheet4!$A$7*'Engine Deck'!B136-Sheet4!E39)*E13/Sheet4!$B$2)</f>
        <v>-100</v>
      </c>
      <c r="E129">
        <f>IF(F26&gt;$A$10,-100,(Sheet4!$A$7*'Engine Deck'!C136-Sheet4!F39)*F13/Sheet4!$B$2)</f>
        <v>-100</v>
      </c>
      <c r="F129">
        <f>IF(G26&gt;$A$10,-100,(Sheet4!$A$7*'Engine Deck'!D136-Sheet4!G39)*G13/Sheet4!$B$2)</f>
        <v>-100</v>
      </c>
      <c r="G129">
        <f>IF(H26&gt;$A$10,-100,(Sheet4!$A$7*'Engine Deck'!E136-Sheet4!H39)*H13/Sheet4!$B$2)</f>
        <v>-100</v>
      </c>
      <c r="H129">
        <f>IF(I26&gt;$A$10,-100,(Sheet4!$A$7*'Engine Deck'!F136-Sheet4!I39)*I13/Sheet4!$B$2)</f>
        <v>4.8521793895532568</v>
      </c>
      <c r="I129">
        <f>IF(J26&gt;$A$10,-100,(Sheet4!$A$7*'Engine Deck'!G136-Sheet4!J39)*J13/Sheet4!$B$2)</f>
        <v>7.2697402946235732</v>
      </c>
      <c r="J129">
        <f>IF(K26&gt;$A$10,-100,(Sheet4!$A$7*'Engine Deck'!H136-Sheet4!K39)*K13/Sheet4!$B$2)</f>
        <v>8.1110746218236223</v>
      </c>
      <c r="K129">
        <f>IF(L26&gt;$A$10,-100,(Sheet4!$A$7*'Engine Deck'!I136-Sheet4!L39)*L13/Sheet4!$B$2)</f>
        <v>7.4275471234741124</v>
      </c>
      <c r="L129">
        <f>IF(M26&gt;$A$10,-100,(Sheet4!$A$7*'Engine Deck'!J136-Sheet4!M39)*M13/Sheet4!$B$2)</f>
        <v>1.8333326709252438</v>
      </c>
      <c r="M129">
        <f>IF(N26&gt;$A$10,-100,(Sheet4!$A$7*'Engine Deck'!K136-Sheet4!N39)*N13/Sheet4!$B$2)</f>
        <v>-1.7745026788317153</v>
      </c>
      <c r="N129">
        <f>IF(O26&gt;$A$10,-100,(Sheet4!$A$7*'Engine Deck'!L136-Sheet4!O39)*O13/Sheet4!$B$2)</f>
        <v>-7.3083797256217542</v>
      </c>
      <c r="O129" s="6"/>
    </row>
  </sheetData>
  <mergeCells count="9">
    <mergeCell ref="P3:P13"/>
    <mergeCell ref="P16:P26"/>
    <mergeCell ref="P29:P39"/>
    <mergeCell ref="O44:O54"/>
    <mergeCell ref="O59:O69"/>
    <mergeCell ref="O74:O84"/>
    <mergeCell ref="O89:O99"/>
    <mergeCell ref="O104:O114"/>
    <mergeCell ref="O119:O129"/>
  </mergeCells>
  <conditionalFormatting sqref="D44:N54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D59:N69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D74:N84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D89:N99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104:N11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119:N12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A320 Wing</vt:lpstr>
      <vt:lpstr>Engine Deck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Taneri</dc:creator>
  <cp:lastModifiedBy>Mert Caferoglu</cp:lastModifiedBy>
  <dcterms:created xsi:type="dcterms:W3CDTF">2025-08-20T12:38:39Z</dcterms:created>
  <dcterms:modified xsi:type="dcterms:W3CDTF">2025-08-23T17:49:25Z</dcterms:modified>
</cp:coreProperties>
</file>